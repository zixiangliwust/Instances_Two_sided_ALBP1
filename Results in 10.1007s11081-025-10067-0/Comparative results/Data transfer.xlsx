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ThinkPad\Desktop\Two-sided assembly line\"/>
    </mc:Choice>
  </mc:AlternateContent>
  <xr:revisionPtr revIDLastSave="0" documentId="13_ncr:1_{522F083A-1EE0-4E26-AF11-1CECEE2D92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posed methods" sheetId="1" r:id="rId1"/>
    <sheet name="algorith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N4" i="1" s="1"/>
  <c r="O4" i="1"/>
  <c r="M5" i="1"/>
  <c r="N5" i="1" s="1"/>
  <c r="M6" i="1"/>
  <c r="M7" i="1"/>
  <c r="N7" i="1" s="1"/>
  <c r="M8" i="1"/>
  <c r="O8" i="1" s="1"/>
  <c r="M9" i="1"/>
  <c r="O9" i="1" s="1"/>
  <c r="M10" i="1"/>
  <c r="M11" i="1"/>
  <c r="M12" i="1"/>
  <c r="O12" i="1" s="1"/>
  <c r="M13" i="1"/>
  <c r="O13" i="1" s="1"/>
  <c r="M14" i="1"/>
  <c r="M15" i="1"/>
  <c r="N15" i="1" s="1"/>
  <c r="M16" i="1"/>
  <c r="N16" i="1" s="1"/>
  <c r="M17" i="1"/>
  <c r="O17" i="1" s="1"/>
  <c r="M18" i="1"/>
  <c r="N18" i="1" s="1"/>
  <c r="M19" i="1"/>
  <c r="N19" i="1" s="1"/>
  <c r="M20" i="1"/>
  <c r="N20" i="1" s="1"/>
  <c r="M21" i="1"/>
  <c r="N21" i="1" s="1"/>
  <c r="M22" i="1"/>
  <c r="M23" i="1"/>
  <c r="O23" i="1"/>
  <c r="M24" i="1"/>
  <c r="N24" i="1" s="1"/>
  <c r="O24" i="1"/>
  <c r="M25" i="1"/>
  <c r="N25" i="1" s="1"/>
  <c r="M26" i="1"/>
  <c r="M27" i="1"/>
  <c r="N27" i="1" s="1"/>
  <c r="M28" i="1"/>
  <c r="O28" i="1" s="1"/>
  <c r="M29" i="1"/>
  <c r="O29" i="1" s="1"/>
  <c r="M30" i="1"/>
  <c r="M31" i="1"/>
  <c r="M32" i="1"/>
  <c r="O32" i="1" s="1"/>
  <c r="M33" i="1"/>
  <c r="O33" i="1" s="1"/>
  <c r="M34" i="1"/>
  <c r="M35" i="1"/>
  <c r="N35" i="1" s="1"/>
  <c r="M36" i="1"/>
  <c r="N36" i="1" s="1"/>
  <c r="M37" i="1"/>
  <c r="O37" i="1" s="1"/>
  <c r="M38" i="1"/>
  <c r="N38" i="1" s="1"/>
  <c r="M39" i="1"/>
  <c r="N39" i="1" s="1"/>
  <c r="M40" i="1"/>
  <c r="N40" i="1" s="1"/>
  <c r="M41" i="1"/>
  <c r="N41" i="1" s="1"/>
  <c r="M42" i="1"/>
  <c r="M43" i="1"/>
  <c r="N43" i="1"/>
  <c r="O43" i="1"/>
  <c r="M44" i="1"/>
  <c r="N44" i="1" s="1"/>
  <c r="O44" i="1"/>
  <c r="M45" i="1"/>
  <c r="N45" i="1" s="1"/>
  <c r="M46" i="1"/>
  <c r="M47" i="1"/>
  <c r="N47" i="1" s="1"/>
  <c r="M48" i="1"/>
  <c r="O48" i="1" s="1"/>
  <c r="M49" i="1"/>
  <c r="O49" i="1" s="1"/>
  <c r="M50" i="1"/>
  <c r="N50" i="1" s="1"/>
  <c r="M51" i="1"/>
  <c r="M52" i="1"/>
  <c r="O52" i="1" s="1"/>
  <c r="M53" i="1"/>
  <c r="O53" i="1" s="1"/>
  <c r="M54" i="1"/>
  <c r="M55" i="1"/>
  <c r="N55" i="1" s="1"/>
  <c r="M56" i="1"/>
  <c r="N56" i="1" s="1"/>
  <c r="M57" i="1"/>
  <c r="O57" i="1" s="1"/>
  <c r="M58" i="1"/>
  <c r="N58" i="1" s="1"/>
  <c r="M59" i="1"/>
  <c r="N59" i="1" s="1"/>
  <c r="M60" i="1"/>
  <c r="N60" i="1" s="1"/>
  <c r="M61" i="1"/>
  <c r="N2" i="1" s="1"/>
  <c r="M62" i="1"/>
  <c r="M63" i="1"/>
  <c r="M64" i="1"/>
  <c r="M65" i="1"/>
  <c r="M66" i="1"/>
  <c r="O7" i="1" s="1"/>
  <c r="M67" i="1"/>
  <c r="N8" i="1" s="1"/>
  <c r="M68" i="1"/>
  <c r="N9" i="1" s="1"/>
  <c r="M69" i="1"/>
  <c r="N10" i="1" s="1"/>
  <c r="M70" i="1"/>
  <c r="N11" i="1" s="1"/>
  <c r="M71" i="1"/>
  <c r="N12" i="1" s="1"/>
  <c r="M72" i="1"/>
  <c r="N13" i="1" s="1"/>
  <c r="M73" i="1"/>
  <c r="N14" i="1" s="1"/>
  <c r="M74" i="1"/>
  <c r="M75" i="1"/>
  <c r="M76" i="1"/>
  <c r="M77" i="1"/>
  <c r="M78" i="1"/>
  <c r="M79" i="1"/>
  <c r="M80" i="1"/>
  <c r="M81" i="1"/>
  <c r="N22" i="1" s="1"/>
  <c r="M82" i="1"/>
  <c r="M83" i="1"/>
  <c r="M84" i="1"/>
  <c r="M85" i="1"/>
  <c r="M86" i="1"/>
  <c r="O27" i="1" s="1"/>
  <c r="M87" i="1"/>
  <c r="N28" i="1" s="1"/>
  <c r="M88" i="1"/>
  <c r="N29" i="1" s="1"/>
  <c r="M89" i="1"/>
  <c r="N30" i="1" s="1"/>
  <c r="M90" i="1"/>
  <c r="N31" i="1" s="1"/>
  <c r="M91" i="1"/>
  <c r="N32" i="1" s="1"/>
  <c r="M92" i="1"/>
  <c r="N33" i="1" s="1"/>
  <c r="M93" i="1"/>
  <c r="N34" i="1" s="1"/>
  <c r="M94" i="1"/>
  <c r="M95" i="1"/>
  <c r="M96" i="1"/>
  <c r="M97" i="1"/>
  <c r="M98" i="1"/>
  <c r="M99" i="1"/>
  <c r="M100" i="1"/>
  <c r="M101" i="1"/>
  <c r="N42" i="1" s="1"/>
  <c r="M102" i="1"/>
  <c r="M103" i="1"/>
  <c r="M104" i="1"/>
  <c r="M105" i="1"/>
  <c r="M106" i="1"/>
  <c r="O47" i="1" s="1"/>
  <c r="M107" i="1"/>
  <c r="N48" i="1" s="1"/>
  <c r="M108" i="1"/>
  <c r="N49" i="1" s="1"/>
  <c r="M109" i="1"/>
  <c r="M110" i="1"/>
  <c r="N51" i="1" s="1"/>
  <c r="M111" i="1"/>
  <c r="N52" i="1" s="1"/>
  <c r="M112" i="1"/>
  <c r="N53" i="1" s="1"/>
  <c r="M113" i="1"/>
  <c r="N54" i="1" s="1"/>
  <c r="M114" i="1"/>
  <c r="M115" i="1"/>
  <c r="M116" i="1"/>
  <c r="M117" i="1"/>
  <c r="M118" i="1"/>
  <c r="M119" i="1"/>
  <c r="M120" i="1"/>
  <c r="M121" i="1"/>
  <c r="N3" i="1" s="1"/>
  <c r="M122" i="1"/>
  <c r="M123" i="1"/>
  <c r="M124" i="1"/>
  <c r="N6" i="1" s="1"/>
  <c r="M125" i="1"/>
  <c r="M126" i="1"/>
  <c r="M127" i="1"/>
  <c r="M128" i="1"/>
  <c r="O10" i="1" s="1"/>
  <c r="M129" i="1"/>
  <c r="M130" i="1"/>
  <c r="M131" i="1"/>
  <c r="M132" i="1"/>
  <c r="M133" i="1"/>
  <c r="M134" i="1"/>
  <c r="M135" i="1"/>
  <c r="M136" i="1"/>
  <c r="M137" i="1"/>
  <c r="M138" i="1"/>
  <c r="M139" i="1"/>
  <c r="O21" i="1" s="1"/>
  <c r="M140" i="1"/>
  <c r="M141" i="1"/>
  <c r="N23" i="1" s="1"/>
  <c r="M142" i="1"/>
  <c r="M143" i="1"/>
  <c r="M144" i="1"/>
  <c r="N26" i="1" s="1"/>
  <c r="M145" i="1"/>
  <c r="M146" i="1"/>
  <c r="M147" i="1"/>
  <c r="M148" i="1"/>
  <c r="O30" i="1" s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N46" i="1" s="1"/>
  <c r="M165" i="1"/>
  <c r="M166" i="1"/>
  <c r="M167" i="1"/>
  <c r="M168" i="1"/>
  <c r="O50" i="1" s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O16" i="1" s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O36" i="1" s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O56" i="1" s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N17" i="1" s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N37" i="1" s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N57" i="1" s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O41" i="1" s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P2" i="1"/>
  <c r="T2" i="1" s="1"/>
  <c r="Q2" i="1"/>
  <c r="U2" i="1" s="1"/>
  <c r="R2" i="1"/>
  <c r="V2" i="1" s="1"/>
  <c r="S2" i="1"/>
  <c r="W2" i="1" s="1"/>
  <c r="X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P3" i="1"/>
  <c r="T3" i="1" s="1"/>
  <c r="Q3" i="1"/>
  <c r="U3" i="1" s="1"/>
  <c r="R3" i="1"/>
  <c r="V3" i="1" s="1"/>
  <c r="S3" i="1"/>
  <c r="W3" i="1" s="1"/>
  <c r="X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P4" i="1"/>
  <c r="T4" i="1" s="1"/>
  <c r="Q4" i="1"/>
  <c r="U4" i="1" s="1"/>
  <c r="R4" i="1"/>
  <c r="V4" i="1" s="1"/>
  <c r="S4" i="1"/>
  <c r="W4" i="1" s="1"/>
  <c r="X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P5" i="1"/>
  <c r="T5" i="1" s="1"/>
  <c r="Q5" i="1"/>
  <c r="U5" i="1" s="1"/>
  <c r="R5" i="1"/>
  <c r="V5" i="1" s="1"/>
  <c r="S5" i="1"/>
  <c r="W5" i="1" s="1"/>
  <c r="X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P6" i="1"/>
  <c r="T6" i="1" s="1"/>
  <c r="Q6" i="1"/>
  <c r="U6" i="1" s="1"/>
  <c r="R6" i="1"/>
  <c r="V6" i="1" s="1"/>
  <c r="S6" i="1"/>
  <c r="W6" i="1" s="1"/>
  <c r="X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P7" i="1"/>
  <c r="T7" i="1" s="1"/>
  <c r="Q7" i="1"/>
  <c r="U7" i="1" s="1"/>
  <c r="R7" i="1"/>
  <c r="V7" i="1" s="1"/>
  <c r="S7" i="1"/>
  <c r="W7" i="1" s="1"/>
  <c r="X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P8" i="1"/>
  <c r="T8" i="1" s="1"/>
  <c r="Q8" i="1"/>
  <c r="U8" i="1" s="1"/>
  <c r="R8" i="1"/>
  <c r="V8" i="1" s="1"/>
  <c r="S8" i="1"/>
  <c r="W8" i="1" s="1"/>
  <c r="X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P9" i="1"/>
  <c r="T9" i="1" s="1"/>
  <c r="Q9" i="1"/>
  <c r="U9" i="1" s="1"/>
  <c r="R9" i="1"/>
  <c r="V9" i="1" s="1"/>
  <c r="S9" i="1"/>
  <c r="W9" i="1" s="1"/>
  <c r="X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P10" i="1"/>
  <c r="T10" i="1" s="1"/>
  <c r="Q10" i="1"/>
  <c r="U10" i="1" s="1"/>
  <c r="R10" i="1"/>
  <c r="V10" i="1" s="1"/>
  <c r="S10" i="1"/>
  <c r="W10" i="1" s="1"/>
  <c r="X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P11" i="1"/>
  <c r="T11" i="1" s="1"/>
  <c r="Q11" i="1"/>
  <c r="U11" i="1" s="1"/>
  <c r="R11" i="1"/>
  <c r="V11" i="1" s="1"/>
  <c r="S11" i="1"/>
  <c r="W11" i="1" s="1"/>
  <c r="X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P12" i="1"/>
  <c r="T12" i="1" s="1"/>
  <c r="Q12" i="1"/>
  <c r="U12" i="1" s="1"/>
  <c r="R12" i="1"/>
  <c r="V12" i="1" s="1"/>
  <c r="S12" i="1"/>
  <c r="W12" i="1" s="1"/>
  <c r="X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P13" i="1"/>
  <c r="T13" i="1" s="1"/>
  <c r="Q13" i="1"/>
  <c r="U13" i="1" s="1"/>
  <c r="R13" i="1"/>
  <c r="V13" i="1" s="1"/>
  <c r="S13" i="1"/>
  <c r="W13" i="1" s="1"/>
  <c r="X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P14" i="1"/>
  <c r="T14" i="1" s="1"/>
  <c r="Q14" i="1"/>
  <c r="U14" i="1" s="1"/>
  <c r="R14" i="1"/>
  <c r="V14" i="1" s="1"/>
  <c r="S14" i="1"/>
  <c r="W14" i="1" s="1"/>
  <c r="X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P15" i="1"/>
  <c r="T15" i="1" s="1"/>
  <c r="Q15" i="1"/>
  <c r="U15" i="1" s="1"/>
  <c r="R15" i="1"/>
  <c r="V15" i="1" s="1"/>
  <c r="S15" i="1"/>
  <c r="W15" i="1" s="1"/>
  <c r="X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P16" i="1"/>
  <c r="T16" i="1" s="1"/>
  <c r="Q16" i="1"/>
  <c r="U16" i="1" s="1"/>
  <c r="R16" i="1"/>
  <c r="V16" i="1" s="1"/>
  <c r="S16" i="1"/>
  <c r="W16" i="1" s="1"/>
  <c r="X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P17" i="1"/>
  <c r="T17" i="1" s="1"/>
  <c r="Q17" i="1"/>
  <c r="U17" i="1" s="1"/>
  <c r="R17" i="1"/>
  <c r="V17" i="1" s="1"/>
  <c r="S17" i="1"/>
  <c r="W17" i="1" s="1"/>
  <c r="X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P18" i="1"/>
  <c r="T18" i="1" s="1"/>
  <c r="Q18" i="1"/>
  <c r="U18" i="1" s="1"/>
  <c r="R18" i="1"/>
  <c r="V18" i="1" s="1"/>
  <c r="S18" i="1"/>
  <c r="W18" i="1" s="1"/>
  <c r="X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P19" i="1"/>
  <c r="T19" i="1" s="1"/>
  <c r="Q19" i="1"/>
  <c r="U19" i="1" s="1"/>
  <c r="R19" i="1"/>
  <c r="V19" i="1" s="1"/>
  <c r="S19" i="1"/>
  <c r="W19" i="1" s="1"/>
  <c r="X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P20" i="1"/>
  <c r="T20" i="1" s="1"/>
  <c r="Q20" i="1"/>
  <c r="U20" i="1" s="1"/>
  <c r="R20" i="1"/>
  <c r="V20" i="1" s="1"/>
  <c r="S20" i="1"/>
  <c r="W20" i="1" s="1"/>
  <c r="X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P21" i="1"/>
  <c r="T21" i="1" s="1"/>
  <c r="Q21" i="1"/>
  <c r="U21" i="1" s="1"/>
  <c r="R21" i="1"/>
  <c r="V21" i="1" s="1"/>
  <c r="S21" i="1"/>
  <c r="W21" i="1" s="1"/>
  <c r="X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P22" i="1"/>
  <c r="T22" i="1" s="1"/>
  <c r="Q22" i="1"/>
  <c r="U22" i="1" s="1"/>
  <c r="R22" i="1"/>
  <c r="V22" i="1" s="1"/>
  <c r="S22" i="1"/>
  <c r="W22" i="1" s="1"/>
  <c r="X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P23" i="1"/>
  <c r="T23" i="1" s="1"/>
  <c r="Q23" i="1"/>
  <c r="U23" i="1" s="1"/>
  <c r="R23" i="1"/>
  <c r="V23" i="1" s="1"/>
  <c r="S23" i="1"/>
  <c r="W23" i="1" s="1"/>
  <c r="X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P24" i="1"/>
  <c r="T24" i="1" s="1"/>
  <c r="Q24" i="1"/>
  <c r="U24" i="1" s="1"/>
  <c r="R24" i="1"/>
  <c r="V24" i="1" s="1"/>
  <c r="S24" i="1"/>
  <c r="W24" i="1" s="1"/>
  <c r="X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P25" i="1"/>
  <c r="T25" i="1" s="1"/>
  <c r="Q25" i="1"/>
  <c r="U25" i="1" s="1"/>
  <c r="R25" i="1"/>
  <c r="V25" i="1" s="1"/>
  <c r="S25" i="1"/>
  <c r="W25" i="1" s="1"/>
  <c r="X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P26" i="1"/>
  <c r="T26" i="1" s="1"/>
  <c r="Q26" i="1"/>
  <c r="U26" i="1" s="1"/>
  <c r="R26" i="1"/>
  <c r="V26" i="1" s="1"/>
  <c r="S26" i="1"/>
  <c r="W26" i="1" s="1"/>
  <c r="X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P27" i="1"/>
  <c r="T27" i="1" s="1"/>
  <c r="Q27" i="1"/>
  <c r="U27" i="1" s="1"/>
  <c r="R27" i="1"/>
  <c r="V27" i="1" s="1"/>
  <c r="S27" i="1"/>
  <c r="W27" i="1" s="1"/>
  <c r="X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P28" i="1"/>
  <c r="T28" i="1" s="1"/>
  <c r="Q28" i="1"/>
  <c r="U28" i="1" s="1"/>
  <c r="R28" i="1"/>
  <c r="V28" i="1" s="1"/>
  <c r="S28" i="1"/>
  <c r="W28" i="1" s="1"/>
  <c r="X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P29" i="1"/>
  <c r="T29" i="1" s="1"/>
  <c r="Q29" i="1"/>
  <c r="U29" i="1" s="1"/>
  <c r="R29" i="1"/>
  <c r="V29" i="1" s="1"/>
  <c r="S29" i="1"/>
  <c r="W29" i="1" s="1"/>
  <c r="X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P30" i="1"/>
  <c r="T30" i="1" s="1"/>
  <c r="Q30" i="1"/>
  <c r="U30" i="1" s="1"/>
  <c r="R30" i="1"/>
  <c r="V30" i="1" s="1"/>
  <c r="S30" i="1"/>
  <c r="W30" i="1" s="1"/>
  <c r="X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P31" i="1"/>
  <c r="T31" i="1" s="1"/>
  <c r="Q31" i="1"/>
  <c r="U31" i="1" s="1"/>
  <c r="R31" i="1"/>
  <c r="V31" i="1" s="1"/>
  <c r="S31" i="1"/>
  <c r="W31" i="1" s="1"/>
  <c r="X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P32" i="1"/>
  <c r="T32" i="1" s="1"/>
  <c r="Q32" i="1"/>
  <c r="U32" i="1" s="1"/>
  <c r="R32" i="1"/>
  <c r="V32" i="1" s="1"/>
  <c r="S32" i="1"/>
  <c r="W32" i="1" s="1"/>
  <c r="X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P33" i="1"/>
  <c r="T33" i="1" s="1"/>
  <c r="Q33" i="1"/>
  <c r="U33" i="1" s="1"/>
  <c r="R33" i="1"/>
  <c r="V33" i="1" s="1"/>
  <c r="S33" i="1"/>
  <c r="W33" i="1" s="1"/>
  <c r="X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P34" i="1"/>
  <c r="T34" i="1" s="1"/>
  <c r="Q34" i="1"/>
  <c r="U34" i="1" s="1"/>
  <c r="R34" i="1"/>
  <c r="V34" i="1" s="1"/>
  <c r="S34" i="1"/>
  <c r="W34" i="1" s="1"/>
  <c r="X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P35" i="1"/>
  <c r="T35" i="1" s="1"/>
  <c r="Q35" i="1"/>
  <c r="U35" i="1" s="1"/>
  <c r="R35" i="1"/>
  <c r="V35" i="1" s="1"/>
  <c r="S35" i="1"/>
  <c r="W35" i="1" s="1"/>
  <c r="X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P36" i="1"/>
  <c r="T36" i="1" s="1"/>
  <c r="Q36" i="1"/>
  <c r="U36" i="1" s="1"/>
  <c r="R36" i="1"/>
  <c r="V36" i="1" s="1"/>
  <c r="S36" i="1"/>
  <c r="W36" i="1" s="1"/>
  <c r="X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P37" i="1"/>
  <c r="T37" i="1" s="1"/>
  <c r="Q37" i="1"/>
  <c r="U37" i="1" s="1"/>
  <c r="R37" i="1"/>
  <c r="V37" i="1" s="1"/>
  <c r="S37" i="1"/>
  <c r="W37" i="1" s="1"/>
  <c r="X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P38" i="1"/>
  <c r="T38" i="1" s="1"/>
  <c r="Q38" i="1"/>
  <c r="U38" i="1" s="1"/>
  <c r="R38" i="1"/>
  <c r="V38" i="1" s="1"/>
  <c r="S38" i="1"/>
  <c r="W38" i="1" s="1"/>
  <c r="X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P39" i="1"/>
  <c r="T39" i="1" s="1"/>
  <c r="Q39" i="1"/>
  <c r="U39" i="1" s="1"/>
  <c r="R39" i="1"/>
  <c r="V39" i="1" s="1"/>
  <c r="S39" i="1"/>
  <c r="W39" i="1" s="1"/>
  <c r="X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P40" i="1"/>
  <c r="T40" i="1" s="1"/>
  <c r="Q40" i="1"/>
  <c r="U40" i="1" s="1"/>
  <c r="R40" i="1"/>
  <c r="V40" i="1" s="1"/>
  <c r="S40" i="1"/>
  <c r="W40" i="1" s="1"/>
  <c r="X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P41" i="1"/>
  <c r="T41" i="1" s="1"/>
  <c r="Q41" i="1"/>
  <c r="U41" i="1" s="1"/>
  <c r="R41" i="1"/>
  <c r="V41" i="1" s="1"/>
  <c r="S41" i="1"/>
  <c r="W41" i="1" s="1"/>
  <c r="X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P42" i="1"/>
  <c r="T42" i="1" s="1"/>
  <c r="Q42" i="1"/>
  <c r="U42" i="1" s="1"/>
  <c r="R42" i="1"/>
  <c r="V42" i="1" s="1"/>
  <c r="S42" i="1"/>
  <c r="W42" i="1" s="1"/>
  <c r="X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P43" i="1"/>
  <c r="T43" i="1" s="1"/>
  <c r="Q43" i="1"/>
  <c r="U43" i="1" s="1"/>
  <c r="R43" i="1"/>
  <c r="V43" i="1" s="1"/>
  <c r="S43" i="1"/>
  <c r="W43" i="1" s="1"/>
  <c r="X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P44" i="1"/>
  <c r="T44" i="1" s="1"/>
  <c r="Q44" i="1"/>
  <c r="U44" i="1" s="1"/>
  <c r="R44" i="1"/>
  <c r="V44" i="1" s="1"/>
  <c r="S44" i="1"/>
  <c r="W44" i="1" s="1"/>
  <c r="X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P45" i="1"/>
  <c r="T45" i="1" s="1"/>
  <c r="Q45" i="1"/>
  <c r="U45" i="1" s="1"/>
  <c r="R45" i="1"/>
  <c r="V45" i="1" s="1"/>
  <c r="S45" i="1"/>
  <c r="W45" i="1" s="1"/>
  <c r="X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P46" i="1"/>
  <c r="T46" i="1" s="1"/>
  <c r="Q46" i="1"/>
  <c r="U46" i="1" s="1"/>
  <c r="R46" i="1"/>
  <c r="V46" i="1" s="1"/>
  <c r="S46" i="1"/>
  <c r="W46" i="1" s="1"/>
  <c r="X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P47" i="1"/>
  <c r="T47" i="1" s="1"/>
  <c r="Q47" i="1"/>
  <c r="U47" i="1" s="1"/>
  <c r="R47" i="1"/>
  <c r="V47" i="1" s="1"/>
  <c r="S47" i="1"/>
  <c r="W47" i="1" s="1"/>
  <c r="X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P48" i="1"/>
  <c r="T48" i="1" s="1"/>
  <c r="Q48" i="1"/>
  <c r="U48" i="1" s="1"/>
  <c r="R48" i="1"/>
  <c r="V48" i="1" s="1"/>
  <c r="S48" i="1"/>
  <c r="W48" i="1" s="1"/>
  <c r="X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P49" i="1"/>
  <c r="T49" i="1" s="1"/>
  <c r="Q49" i="1"/>
  <c r="U49" i="1" s="1"/>
  <c r="R49" i="1"/>
  <c r="V49" i="1" s="1"/>
  <c r="S49" i="1"/>
  <c r="W49" i="1" s="1"/>
  <c r="X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P50" i="1"/>
  <c r="T50" i="1" s="1"/>
  <c r="Q50" i="1"/>
  <c r="U50" i="1" s="1"/>
  <c r="R50" i="1"/>
  <c r="V50" i="1" s="1"/>
  <c r="S50" i="1"/>
  <c r="W50" i="1" s="1"/>
  <c r="X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P51" i="1"/>
  <c r="T51" i="1" s="1"/>
  <c r="Q51" i="1"/>
  <c r="U51" i="1" s="1"/>
  <c r="R51" i="1"/>
  <c r="V51" i="1" s="1"/>
  <c r="S51" i="1"/>
  <c r="W51" i="1" s="1"/>
  <c r="X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P52" i="1"/>
  <c r="T52" i="1" s="1"/>
  <c r="Q52" i="1"/>
  <c r="U52" i="1" s="1"/>
  <c r="R52" i="1"/>
  <c r="V52" i="1" s="1"/>
  <c r="S52" i="1"/>
  <c r="W52" i="1" s="1"/>
  <c r="X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P53" i="1"/>
  <c r="T53" i="1" s="1"/>
  <c r="Q53" i="1"/>
  <c r="U53" i="1" s="1"/>
  <c r="R53" i="1"/>
  <c r="V53" i="1" s="1"/>
  <c r="S53" i="1"/>
  <c r="W53" i="1" s="1"/>
  <c r="X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P54" i="1"/>
  <c r="T54" i="1" s="1"/>
  <c r="Q54" i="1"/>
  <c r="U54" i="1" s="1"/>
  <c r="R54" i="1"/>
  <c r="V54" i="1" s="1"/>
  <c r="S54" i="1"/>
  <c r="W54" i="1" s="1"/>
  <c r="X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P55" i="1"/>
  <c r="T55" i="1" s="1"/>
  <c r="Q55" i="1"/>
  <c r="U55" i="1" s="1"/>
  <c r="R55" i="1"/>
  <c r="V55" i="1" s="1"/>
  <c r="S55" i="1"/>
  <c r="W55" i="1" s="1"/>
  <c r="X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P56" i="1"/>
  <c r="T56" i="1" s="1"/>
  <c r="Q56" i="1"/>
  <c r="U56" i="1" s="1"/>
  <c r="R56" i="1"/>
  <c r="V56" i="1" s="1"/>
  <c r="S56" i="1"/>
  <c r="W56" i="1" s="1"/>
  <c r="X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P57" i="1"/>
  <c r="T57" i="1" s="1"/>
  <c r="Q57" i="1"/>
  <c r="U57" i="1" s="1"/>
  <c r="R57" i="1"/>
  <c r="V57" i="1" s="1"/>
  <c r="S57" i="1"/>
  <c r="W57" i="1" s="1"/>
  <c r="X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P58" i="1"/>
  <c r="T58" i="1" s="1"/>
  <c r="Q58" i="1"/>
  <c r="U58" i="1" s="1"/>
  <c r="R58" i="1"/>
  <c r="V58" i="1" s="1"/>
  <c r="S58" i="1"/>
  <c r="W58" i="1" s="1"/>
  <c r="X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P59" i="1"/>
  <c r="T59" i="1" s="1"/>
  <c r="Q59" i="1"/>
  <c r="U59" i="1" s="1"/>
  <c r="R59" i="1"/>
  <c r="V59" i="1" s="1"/>
  <c r="S59" i="1"/>
  <c r="W59" i="1" s="1"/>
  <c r="X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P60" i="1"/>
  <c r="T60" i="1" s="1"/>
  <c r="Q60" i="1"/>
  <c r="U60" i="1" s="1"/>
  <c r="R60" i="1"/>
  <c r="V60" i="1" s="1"/>
  <c r="S60" i="1"/>
  <c r="W60" i="1" s="1"/>
  <c r="X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F119" i="2"/>
  <c r="F178" i="2" s="1"/>
  <c r="F237" i="2" s="1"/>
  <c r="F296" i="2" s="1"/>
  <c r="F355" i="2" s="1"/>
  <c r="F414" i="2" s="1"/>
  <c r="F473" i="2" s="1"/>
  <c r="F532" i="2" s="1"/>
  <c r="F591" i="2" s="1"/>
  <c r="E119" i="2"/>
  <c r="E178" i="2" s="1"/>
  <c r="E237" i="2" s="1"/>
  <c r="E296" i="2" s="1"/>
  <c r="E355" i="2" s="1"/>
  <c r="E414" i="2" s="1"/>
  <c r="E473" i="2" s="1"/>
  <c r="E532" i="2" s="1"/>
  <c r="E591" i="2" s="1"/>
  <c r="D119" i="2"/>
  <c r="D178" i="2" s="1"/>
  <c r="C119" i="2"/>
  <c r="C178" i="2" s="1"/>
  <c r="C237" i="2" s="1"/>
  <c r="C296" i="2" s="1"/>
  <c r="C355" i="2" s="1"/>
  <c r="C414" i="2" s="1"/>
  <c r="C473" i="2" s="1"/>
  <c r="C532" i="2" s="1"/>
  <c r="C591" i="2" s="1"/>
  <c r="B119" i="2"/>
  <c r="B178" i="2" s="1"/>
  <c r="B237" i="2" s="1"/>
  <c r="B296" i="2" s="1"/>
  <c r="B355" i="2" s="1"/>
  <c r="B414" i="2" s="1"/>
  <c r="B473" i="2" s="1"/>
  <c r="B532" i="2" s="1"/>
  <c r="B591" i="2" s="1"/>
  <c r="A119" i="2"/>
  <c r="A178" i="2" s="1"/>
  <c r="A237" i="2" s="1"/>
  <c r="A296" i="2" s="1"/>
  <c r="A355" i="2" s="1"/>
  <c r="A414" i="2" s="1"/>
  <c r="A473" i="2" s="1"/>
  <c r="A532" i="2" s="1"/>
  <c r="A591" i="2" s="1"/>
  <c r="F118" i="2"/>
  <c r="F177" i="2" s="1"/>
  <c r="F236" i="2" s="1"/>
  <c r="F295" i="2" s="1"/>
  <c r="F354" i="2" s="1"/>
  <c r="F413" i="2" s="1"/>
  <c r="F472" i="2" s="1"/>
  <c r="F531" i="2" s="1"/>
  <c r="F590" i="2" s="1"/>
  <c r="E118" i="2"/>
  <c r="E177" i="2" s="1"/>
  <c r="E236" i="2" s="1"/>
  <c r="E295" i="2" s="1"/>
  <c r="E354" i="2" s="1"/>
  <c r="E413" i="2" s="1"/>
  <c r="E472" i="2" s="1"/>
  <c r="E531" i="2" s="1"/>
  <c r="E590" i="2" s="1"/>
  <c r="D118" i="2"/>
  <c r="D177" i="2" s="1"/>
  <c r="C118" i="2"/>
  <c r="C177" i="2" s="1"/>
  <c r="C236" i="2" s="1"/>
  <c r="C295" i="2" s="1"/>
  <c r="C354" i="2" s="1"/>
  <c r="C413" i="2" s="1"/>
  <c r="C472" i="2" s="1"/>
  <c r="C531" i="2" s="1"/>
  <c r="C590" i="2" s="1"/>
  <c r="B118" i="2"/>
  <c r="B177" i="2" s="1"/>
  <c r="B236" i="2" s="1"/>
  <c r="B295" i="2" s="1"/>
  <c r="B354" i="2" s="1"/>
  <c r="B413" i="2" s="1"/>
  <c r="B472" i="2" s="1"/>
  <c r="B531" i="2" s="1"/>
  <c r="B590" i="2" s="1"/>
  <c r="A118" i="2"/>
  <c r="A177" i="2" s="1"/>
  <c r="A236" i="2" s="1"/>
  <c r="A295" i="2" s="1"/>
  <c r="A354" i="2" s="1"/>
  <c r="A413" i="2" s="1"/>
  <c r="A472" i="2" s="1"/>
  <c r="A531" i="2" s="1"/>
  <c r="A590" i="2" s="1"/>
  <c r="F117" i="2"/>
  <c r="F176" i="2" s="1"/>
  <c r="F235" i="2" s="1"/>
  <c r="F294" i="2" s="1"/>
  <c r="F353" i="2" s="1"/>
  <c r="F412" i="2" s="1"/>
  <c r="F471" i="2" s="1"/>
  <c r="F530" i="2" s="1"/>
  <c r="F589" i="2" s="1"/>
  <c r="E117" i="2"/>
  <c r="E176" i="2" s="1"/>
  <c r="E235" i="2" s="1"/>
  <c r="E294" i="2" s="1"/>
  <c r="E353" i="2" s="1"/>
  <c r="E412" i="2" s="1"/>
  <c r="E471" i="2" s="1"/>
  <c r="E530" i="2" s="1"/>
  <c r="E589" i="2" s="1"/>
  <c r="D117" i="2"/>
  <c r="C117" i="2"/>
  <c r="C176" i="2" s="1"/>
  <c r="C235" i="2" s="1"/>
  <c r="C294" i="2" s="1"/>
  <c r="C353" i="2" s="1"/>
  <c r="C412" i="2" s="1"/>
  <c r="C471" i="2" s="1"/>
  <c r="C530" i="2" s="1"/>
  <c r="C589" i="2" s="1"/>
  <c r="B117" i="2"/>
  <c r="B176" i="2" s="1"/>
  <c r="B235" i="2" s="1"/>
  <c r="B294" i="2" s="1"/>
  <c r="B353" i="2" s="1"/>
  <c r="B412" i="2" s="1"/>
  <c r="B471" i="2" s="1"/>
  <c r="B530" i="2" s="1"/>
  <c r="B589" i="2" s="1"/>
  <c r="A117" i="2"/>
  <c r="A176" i="2" s="1"/>
  <c r="A235" i="2" s="1"/>
  <c r="A294" i="2" s="1"/>
  <c r="A353" i="2" s="1"/>
  <c r="A412" i="2" s="1"/>
  <c r="A471" i="2" s="1"/>
  <c r="A530" i="2" s="1"/>
  <c r="A589" i="2" s="1"/>
  <c r="F116" i="2"/>
  <c r="F175" i="2" s="1"/>
  <c r="F234" i="2" s="1"/>
  <c r="F293" i="2" s="1"/>
  <c r="F352" i="2" s="1"/>
  <c r="F411" i="2" s="1"/>
  <c r="F470" i="2" s="1"/>
  <c r="F529" i="2" s="1"/>
  <c r="F588" i="2" s="1"/>
  <c r="E116" i="2"/>
  <c r="E175" i="2" s="1"/>
  <c r="E234" i="2" s="1"/>
  <c r="E293" i="2" s="1"/>
  <c r="E352" i="2" s="1"/>
  <c r="E411" i="2" s="1"/>
  <c r="E470" i="2" s="1"/>
  <c r="E529" i="2" s="1"/>
  <c r="E588" i="2" s="1"/>
  <c r="D116" i="2"/>
  <c r="D175" i="2" s="1"/>
  <c r="C116" i="2"/>
  <c r="C175" i="2" s="1"/>
  <c r="C234" i="2" s="1"/>
  <c r="C293" i="2" s="1"/>
  <c r="C352" i="2" s="1"/>
  <c r="C411" i="2" s="1"/>
  <c r="C470" i="2" s="1"/>
  <c r="C529" i="2" s="1"/>
  <c r="C588" i="2" s="1"/>
  <c r="B116" i="2"/>
  <c r="B175" i="2" s="1"/>
  <c r="B234" i="2" s="1"/>
  <c r="B293" i="2" s="1"/>
  <c r="B352" i="2" s="1"/>
  <c r="B411" i="2" s="1"/>
  <c r="B470" i="2" s="1"/>
  <c r="B529" i="2" s="1"/>
  <c r="B588" i="2" s="1"/>
  <c r="A116" i="2"/>
  <c r="A175" i="2" s="1"/>
  <c r="A234" i="2" s="1"/>
  <c r="A293" i="2" s="1"/>
  <c r="A352" i="2" s="1"/>
  <c r="A411" i="2" s="1"/>
  <c r="A470" i="2" s="1"/>
  <c r="A529" i="2" s="1"/>
  <c r="A588" i="2" s="1"/>
  <c r="F115" i="2"/>
  <c r="F174" i="2" s="1"/>
  <c r="F233" i="2" s="1"/>
  <c r="F292" i="2" s="1"/>
  <c r="F351" i="2" s="1"/>
  <c r="F410" i="2" s="1"/>
  <c r="F469" i="2" s="1"/>
  <c r="F528" i="2" s="1"/>
  <c r="F587" i="2" s="1"/>
  <c r="E115" i="2"/>
  <c r="E174" i="2" s="1"/>
  <c r="E233" i="2" s="1"/>
  <c r="D115" i="2"/>
  <c r="D174" i="2" s="1"/>
  <c r="D233" i="2" s="1"/>
  <c r="D292" i="2" s="1"/>
  <c r="C115" i="2"/>
  <c r="C174" i="2" s="1"/>
  <c r="C233" i="2" s="1"/>
  <c r="C292" i="2" s="1"/>
  <c r="C351" i="2" s="1"/>
  <c r="C410" i="2" s="1"/>
  <c r="C469" i="2" s="1"/>
  <c r="C528" i="2" s="1"/>
  <c r="C587" i="2" s="1"/>
  <c r="B115" i="2"/>
  <c r="B174" i="2" s="1"/>
  <c r="B233" i="2" s="1"/>
  <c r="B292" i="2" s="1"/>
  <c r="B351" i="2" s="1"/>
  <c r="B410" i="2" s="1"/>
  <c r="B469" i="2" s="1"/>
  <c r="B528" i="2" s="1"/>
  <c r="B587" i="2" s="1"/>
  <c r="A115" i="2"/>
  <c r="A174" i="2" s="1"/>
  <c r="A233" i="2" s="1"/>
  <c r="A292" i="2" s="1"/>
  <c r="A351" i="2" s="1"/>
  <c r="A410" i="2" s="1"/>
  <c r="A469" i="2" s="1"/>
  <c r="A528" i="2" s="1"/>
  <c r="A587" i="2" s="1"/>
  <c r="F114" i="2"/>
  <c r="F173" i="2" s="1"/>
  <c r="F232" i="2" s="1"/>
  <c r="F291" i="2" s="1"/>
  <c r="F350" i="2" s="1"/>
  <c r="F409" i="2" s="1"/>
  <c r="F468" i="2" s="1"/>
  <c r="F527" i="2" s="1"/>
  <c r="F586" i="2" s="1"/>
  <c r="E114" i="2"/>
  <c r="E173" i="2" s="1"/>
  <c r="E232" i="2" s="1"/>
  <c r="E291" i="2" s="1"/>
  <c r="E350" i="2" s="1"/>
  <c r="E409" i="2" s="1"/>
  <c r="E468" i="2" s="1"/>
  <c r="E527" i="2" s="1"/>
  <c r="E586" i="2" s="1"/>
  <c r="D114" i="2"/>
  <c r="C114" i="2"/>
  <c r="C173" i="2" s="1"/>
  <c r="C232" i="2" s="1"/>
  <c r="C291" i="2" s="1"/>
  <c r="C350" i="2" s="1"/>
  <c r="C409" i="2" s="1"/>
  <c r="C468" i="2" s="1"/>
  <c r="C527" i="2" s="1"/>
  <c r="C586" i="2" s="1"/>
  <c r="B114" i="2"/>
  <c r="B173" i="2" s="1"/>
  <c r="B232" i="2" s="1"/>
  <c r="B291" i="2" s="1"/>
  <c r="B350" i="2" s="1"/>
  <c r="B409" i="2" s="1"/>
  <c r="B468" i="2" s="1"/>
  <c r="B527" i="2" s="1"/>
  <c r="B586" i="2" s="1"/>
  <c r="A114" i="2"/>
  <c r="A173" i="2" s="1"/>
  <c r="A232" i="2" s="1"/>
  <c r="A291" i="2" s="1"/>
  <c r="A350" i="2" s="1"/>
  <c r="A409" i="2" s="1"/>
  <c r="A468" i="2" s="1"/>
  <c r="A527" i="2" s="1"/>
  <c r="A586" i="2" s="1"/>
  <c r="F113" i="2"/>
  <c r="F172" i="2" s="1"/>
  <c r="F231" i="2" s="1"/>
  <c r="F290" i="2" s="1"/>
  <c r="F349" i="2" s="1"/>
  <c r="F408" i="2" s="1"/>
  <c r="F467" i="2" s="1"/>
  <c r="F526" i="2" s="1"/>
  <c r="F585" i="2" s="1"/>
  <c r="E113" i="2"/>
  <c r="E172" i="2" s="1"/>
  <c r="E231" i="2" s="1"/>
  <c r="E290" i="2" s="1"/>
  <c r="E349" i="2" s="1"/>
  <c r="E408" i="2" s="1"/>
  <c r="E467" i="2" s="1"/>
  <c r="E526" i="2" s="1"/>
  <c r="E585" i="2" s="1"/>
  <c r="D113" i="2"/>
  <c r="D172" i="2" s="1"/>
  <c r="C113" i="2"/>
  <c r="C172" i="2" s="1"/>
  <c r="C231" i="2" s="1"/>
  <c r="C290" i="2" s="1"/>
  <c r="C349" i="2" s="1"/>
  <c r="C408" i="2" s="1"/>
  <c r="C467" i="2" s="1"/>
  <c r="C526" i="2" s="1"/>
  <c r="C585" i="2" s="1"/>
  <c r="B113" i="2"/>
  <c r="B172" i="2" s="1"/>
  <c r="B231" i="2" s="1"/>
  <c r="B290" i="2" s="1"/>
  <c r="B349" i="2" s="1"/>
  <c r="B408" i="2" s="1"/>
  <c r="B467" i="2" s="1"/>
  <c r="B526" i="2" s="1"/>
  <c r="B585" i="2" s="1"/>
  <c r="A113" i="2"/>
  <c r="A172" i="2" s="1"/>
  <c r="A231" i="2" s="1"/>
  <c r="A290" i="2" s="1"/>
  <c r="A349" i="2" s="1"/>
  <c r="A408" i="2" s="1"/>
  <c r="A467" i="2" s="1"/>
  <c r="A526" i="2" s="1"/>
  <c r="A585" i="2" s="1"/>
  <c r="F112" i="2"/>
  <c r="F171" i="2" s="1"/>
  <c r="F230" i="2" s="1"/>
  <c r="F289" i="2" s="1"/>
  <c r="F348" i="2" s="1"/>
  <c r="F407" i="2" s="1"/>
  <c r="F466" i="2" s="1"/>
  <c r="F525" i="2" s="1"/>
  <c r="F584" i="2" s="1"/>
  <c r="E112" i="2"/>
  <c r="E171" i="2" s="1"/>
  <c r="E230" i="2" s="1"/>
  <c r="E289" i="2" s="1"/>
  <c r="E348" i="2" s="1"/>
  <c r="E407" i="2" s="1"/>
  <c r="E466" i="2" s="1"/>
  <c r="E525" i="2" s="1"/>
  <c r="E584" i="2" s="1"/>
  <c r="D112" i="2"/>
  <c r="D171" i="2" s="1"/>
  <c r="D230" i="2" s="1"/>
  <c r="C112" i="2"/>
  <c r="C171" i="2" s="1"/>
  <c r="C230" i="2" s="1"/>
  <c r="C289" i="2" s="1"/>
  <c r="C348" i="2" s="1"/>
  <c r="C407" i="2" s="1"/>
  <c r="C466" i="2" s="1"/>
  <c r="C525" i="2" s="1"/>
  <c r="C584" i="2" s="1"/>
  <c r="B112" i="2"/>
  <c r="B171" i="2" s="1"/>
  <c r="B230" i="2" s="1"/>
  <c r="B289" i="2" s="1"/>
  <c r="B348" i="2" s="1"/>
  <c r="B407" i="2" s="1"/>
  <c r="B466" i="2" s="1"/>
  <c r="B525" i="2" s="1"/>
  <c r="B584" i="2" s="1"/>
  <c r="A112" i="2"/>
  <c r="A171" i="2" s="1"/>
  <c r="A230" i="2" s="1"/>
  <c r="A289" i="2" s="1"/>
  <c r="A348" i="2" s="1"/>
  <c r="A407" i="2" s="1"/>
  <c r="A466" i="2" s="1"/>
  <c r="A525" i="2" s="1"/>
  <c r="A584" i="2" s="1"/>
  <c r="F111" i="2"/>
  <c r="F170" i="2" s="1"/>
  <c r="F229" i="2" s="1"/>
  <c r="F288" i="2" s="1"/>
  <c r="F347" i="2" s="1"/>
  <c r="F406" i="2" s="1"/>
  <c r="F465" i="2" s="1"/>
  <c r="F524" i="2" s="1"/>
  <c r="F583" i="2" s="1"/>
  <c r="E111" i="2"/>
  <c r="E170" i="2" s="1"/>
  <c r="E229" i="2" s="1"/>
  <c r="E288" i="2" s="1"/>
  <c r="E347" i="2" s="1"/>
  <c r="E406" i="2" s="1"/>
  <c r="E465" i="2" s="1"/>
  <c r="E524" i="2" s="1"/>
  <c r="E583" i="2" s="1"/>
  <c r="D111" i="2"/>
  <c r="D170" i="2" s="1"/>
  <c r="C111" i="2"/>
  <c r="C170" i="2" s="1"/>
  <c r="C229" i="2" s="1"/>
  <c r="C288" i="2" s="1"/>
  <c r="C347" i="2" s="1"/>
  <c r="C406" i="2" s="1"/>
  <c r="C465" i="2" s="1"/>
  <c r="C524" i="2" s="1"/>
  <c r="C583" i="2" s="1"/>
  <c r="B111" i="2"/>
  <c r="B170" i="2" s="1"/>
  <c r="B229" i="2" s="1"/>
  <c r="B288" i="2" s="1"/>
  <c r="B347" i="2" s="1"/>
  <c r="B406" i="2" s="1"/>
  <c r="B465" i="2" s="1"/>
  <c r="B524" i="2" s="1"/>
  <c r="B583" i="2" s="1"/>
  <c r="A111" i="2"/>
  <c r="A170" i="2" s="1"/>
  <c r="A229" i="2" s="1"/>
  <c r="A288" i="2" s="1"/>
  <c r="A347" i="2" s="1"/>
  <c r="A406" i="2" s="1"/>
  <c r="A465" i="2" s="1"/>
  <c r="A524" i="2" s="1"/>
  <c r="A583" i="2" s="1"/>
  <c r="F110" i="2"/>
  <c r="F169" i="2" s="1"/>
  <c r="F228" i="2" s="1"/>
  <c r="F287" i="2" s="1"/>
  <c r="F346" i="2" s="1"/>
  <c r="F405" i="2" s="1"/>
  <c r="F464" i="2" s="1"/>
  <c r="F523" i="2" s="1"/>
  <c r="F582" i="2" s="1"/>
  <c r="E110" i="2"/>
  <c r="E169" i="2" s="1"/>
  <c r="E228" i="2" s="1"/>
  <c r="E287" i="2" s="1"/>
  <c r="E346" i="2" s="1"/>
  <c r="E405" i="2" s="1"/>
  <c r="E464" i="2" s="1"/>
  <c r="E523" i="2" s="1"/>
  <c r="E582" i="2" s="1"/>
  <c r="D110" i="2"/>
  <c r="D169" i="2" s="1"/>
  <c r="D228" i="2" s="1"/>
  <c r="C110" i="2"/>
  <c r="C169" i="2" s="1"/>
  <c r="C228" i="2" s="1"/>
  <c r="C287" i="2" s="1"/>
  <c r="C346" i="2" s="1"/>
  <c r="C405" i="2" s="1"/>
  <c r="C464" i="2" s="1"/>
  <c r="C523" i="2" s="1"/>
  <c r="C582" i="2" s="1"/>
  <c r="B110" i="2"/>
  <c r="B169" i="2" s="1"/>
  <c r="B228" i="2" s="1"/>
  <c r="B287" i="2" s="1"/>
  <c r="B346" i="2" s="1"/>
  <c r="B405" i="2" s="1"/>
  <c r="B464" i="2" s="1"/>
  <c r="B523" i="2" s="1"/>
  <c r="B582" i="2" s="1"/>
  <c r="A110" i="2"/>
  <c r="A169" i="2" s="1"/>
  <c r="A228" i="2" s="1"/>
  <c r="A287" i="2" s="1"/>
  <c r="A346" i="2" s="1"/>
  <c r="A405" i="2" s="1"/>
  <c r="A464" i="2" s="1"/>
  <c r="A523" i="2" s="1"/>
  <c r="A582" i="2" s="1"/>
  <c r="F109" i="2"/>
  <c r="F168" i="2" s="1"/>
  <c r="F227" i="2" s="1"/>
  <c r="F286" i="2" s="1"/>
  <c r="F345" i="2" s="1"/>
  <c r="F404" i="2" s="1"/>
  <c r="F463" i="2" s="1"/>
  <c r="F522" i="2" s="1"/>
  <c r="F581" i="2" s="1"/>
  <c r="E109" i="2"/>
  <c r="E168" i="2" s="1"/>
  <c r="E227" i="2" s="1"/>
  <c r="E286" i="2" s="1"/>
  <c r="E345" i="2" s="1"/>
  <c r="E404" i="2" s="1"/>
  <c r="E463" i="2" s="1"/>
  <c r="E522" i="2" s="1"/>
  <c r="E581" i="2" s="1"/>
  <c r="D109" i="2"/>
  <c r="D168" i="2" s="1"/>
  <c r="D227" i="2" s="1"/>
  <c r="D286" i="2" s="1"/>
  <c r="C109" i="2"/>
  <c r="C168" i="2" s="1"/>
  <c r="C227" i="2" s="1"/>
  <c r="C286" i="2" s="1"/>
  <c r="C345" i="2" s="1"/>
  <c r="C404" i="2" s="1"/>
  <c r="C463" i="2" s="1"/>
  <c r="C522" i="2" s="1"/>
  <c r="C581" i="2" s="1"/>
  <c r="B109" i="2"/>
  <c r="B168" i="2" s="1"/>
  <c r="B227" i="2" s="1"/>
  <c r="B286" i="2" s="1"/>
  <c r="B345" i="2" s="1"/>
  <c r="B404" i="2" s="1"/>
  <c r="B463" i="2" s="1"/>
  <c r="B522" i="2" s="1"/>
  <c r="B581" i="2" s="1"/>
  <c r="A109" i="2"/>
  <c r="A168" i="2" s="1"/>
  <c r="A227" i="2" s="1"/>
  <c r="A286" i="2" s="1"/>
  <c r="A345" i="2" s="1"/>
  <c r="A404" i="2" s="1"/>
  <c r="A463" i="2" s="1"/>
  <c r="A522" i="2" s="1"/>
  <c r="A581" i="2" s="1"/>
  <c r="F108" i="2"/>
  <c r="F167" i="2" s="1"/>
  <c r="F226" i="2" s="1"/>
  <c r="F285" i="2" s="1"/>
  <c r="F344" i="2" s="1"/>
  <c r="F403" i="2" s="1"/>
  <c r="F462" i="2" s="1"/>
  <c r="F521" i="2" s="1"/>
  <c r="F580" i="2" s="1"/>
  <c r="E108" i="2"/>
  <c r="E167" i="2" s="1"/>
  <c r="E226" i="2" s="1"/>
  <c r="E285" i="2" s="1"/>
  <c r="E344" i="2" s="1"/>
  <c r="E403" i="2" s="1"/>
  <c r="E462" i="2" s="1"/>
  <c r="E521" i="2" s="1"/>
  <c r="E580" i="2" s="1"/>
  <c r="D108" i="2"/>
  <c r="C108" i="2"/>
  <c r="C167" i="2" s="1"/>
  <c r="C226" i="2" s="1"/>
  <c r="C285" i="2" s="1"/>
  <c r="C344" i="2" s="1"/>
  <c r="C403" i="2" s="1"/>
  <c r="C462" i="2" s="1"/>
  <c r="C521" i="2" s="1"/>
  <c r="C580" i="2" s="1"/>
  <c r="B108" i="2"/>
  <c r="B167" i="2" s="1"/>
  <c r="B226" i="2" s="1"/>
  <c r="B285" i="2" s="1"/>
  <c r="B344" i="2" s="1"/>
  <c r="B403" i="2" s="1"/>
  <c r="B462" i="2" s="1"/>
  <c r="B521" i="2" s="1"/>
  <c r="B580" i="2" s="1"/>
  <c r="A108" i="2"/>
  <c r="A167" i="2" s="1"/>
  <c r="A226" i="2" s="1"/>
  <c r="A285" i="2" s="1"/>
  <c r="A344" i="2" s="1"/>
  <c r="A403" i="2" s="1"/>
  <c r="A462" i="2" s="1"/>
  <c r="A521" i="2" s="1"/>
  <c r="A580" i="2" s="1"/>
  <c r="F107" i="2"/>
  <c r="F166" i="2" s="1"/>
  <c r="F225" i="2" s="1"/>
  <c r="F284" i="2" s="1"/>
  <c r="F343" i="2" s="1"/>
  <c r="F402" i="2" s="1"/>
  <c r="F461" i="2" s="1"/>
  <c r="F520" i="2" s="1"/>
  <c r="F579" i="2" s="1"/>
  <c r="E107" i="2"/>
  <c r="E166" i="2" s="1"/>
  <c r="E225" i="2" s="1"/>
  <c r="E284" i="2" s="1"/>
  <c r="E343" i="2" s="1"/>
  <c r="E402" i="2" s="1"/>
  <c r="E461" i="2" s="1"/>
  <c r="E520" i="2" s="1"/>
  <c r="E579" i="2" s="1"/>
  <c r="D107" i="2"/>
  <c r="D166" i="2" s="1"/>
  <c r="C107" i="2"/>
  <c r="C166" i="2" s="1"/>
  <c r="C225" i="2" s="1"/>
  <c r="C284" i="2" s="1"/>
  <c r="C343" i="2" s="1"/>
  <c r="C402" i="2" s="1"/>
  <c r="C461" i="2" s="1"/>
  <c r="C520" i="2" s="1"/>
  <c r="C579" i="2" s="1"/>
  <c r="B107" i="2"/>
  <c r="B166" i="2" s="1"/>
  <c r="B225" i="2" s="1"/>
  <c r="B284" i="2" s="1"/>
  <c r="B343" i="2" s="1"/>
  <c r="B402" i="2" s="1"/>
  <c r="B461" i="2" s="1"/>
  <c r="B520" i="2" s="1"/>
  <c r="B579" i="2" s="1"/>
  <c r="A107" i="2"/>
  <c r="A166" i="2" s="1"/>
  <c r="A225" i="2" s="1"/>
  <c r="A284" i="2" s="1"/>
  <c r="A343" i="2" s="1"/>
  <c r="A402" i="2" s="1"/>
  <c r="A461" i="2" s="1"/>
  <c r="A520" i="2" s="1"/>
  <c r="A579" i="2" s="1"/>
  <c r="F106" i="2"/>
  <c r="F165" i="2" s="1"/>
  <c r="F224" i="2" s="1"/>
  <c r="F283" i="2" s="1"/>
  <c r="F342" i="2" s="1"/>
  <c r="F401" i="2" s="1"/>
  <c r="F460" i="2" s="1"/>
  <c r="F519" i="2" s="1"/>
  <c r="F578" i="2" s="1"/>
  <c r="E106" i="2"/>
  <c r="E165" i="2" s="1"/>
  <c r="E224" i="2" s="1"/>
  <c r="E283" i="2" s="1"/>
  <c r="E342" i="2" s="1"/>
  <c r="E401" i="2" s="1"/>
  <c r="E460" i="2" s="1"/>
  <c r="E519" i="2" s="1"/>
  <c r="E578" i="2" s="1"/>
  <c r="D106" i="2"/>
  <c r="D165" i="2" s="1"/>
  <c r="C106" i="2"/>
  <c r="C165" i="2" s="1"/>
  <c r="C224" i="2" s="1"/>
  <c r="C283" i="2" s="1"/>
  <c r="C342" i="2" s="1"/>
  <c r="C401" i="2" s="1"/>
  <c r="C460" i="2" s="1"/>
  <c r="C519" i="2" s="1"/>
  <c r="C578" i="2" s="1"/>
  <c r="B106" i="2"/>
  <c r="B165" i="2" s="1"/>
  <c r="B224" i="2" s="1"/>
  <c r="B283" i="2" s="1"/>
  <c r="B342" i="2" s="1"/>
  <c r="B401" i="2" s="1"/>
  <c r="B460" i="2" s="1"/>
  <c r="B519" i="2" s="1"/>
  <c r="B578" i="2" s="1"/>
  <c r="A106" i="2"/>
  <c r="A165" i="2" s="1"/>
  <c r="A224" i="2" s="1"/>
  <c r="A283" i="2" s="1"/>
  <c r="A342" i="2" s="1"/>
  <c r="A401" i="2" s="1"/>
  <c r="A460" i="2" s="1"/>
  <c r="A519" i="2" s="1"/>
  <c r="A578" i="2" s="1"/>
  <c r="F105" i="2"/>
  <c r="F164" i="2" s="1"/>
  <c r="F223" i="2" s="1"/>
  <c r="F282" i="2" s="1"/>
  <c r="F341" i="2" s="1"/>
  <c r="F400" i="2" s="1"/>
  <c r="F459" i="2" s="1"/>
  <c r="F518" i="2" s="1"/>
  <c r="F577" i="2" s="1"/>
  <c r="E105" i="2"/>
  <c r="E164" i="2" s="1"/>
  <c r="E223" i="2" s="1"/>
  <c r="E282" i="2" s="1"/>
  <c r="E341" i="2" s="1"/>
  <c r="E400" i="2" s="1"/>
  <c r="E459" i="2" s="1"/>
  <c r="E518" i="2" s="1"/>
  <c r="E577" i="2" s="1"/>
  <c r="D105" i="2"/>
  <c r="C105" i="2"/>
  <c r="C164" i="2" s="1"/>
  <c r="C223" i="2" s="1"/>
  <c r="C282" i="2" s="1"/>
  <c r="C341" i="2" s="1"/>
  <c r="C400" i="2" s="1"/>
  <c r="C459" i="2" s="1"/>
  <c r="C518" i="2" s="1"/>
  <c r="C577" i="2" s="1"/>
  <c r="B105" i="2"/>
  <c r="B164" i="2" s="1"/>
  <c r="B223" i="2" s="1"/>
  <c r="B282" i="2" s="1"/>
  <c r="B341" i="2" s="1"/>
  <c r="B400" i="2" s="1"/>
  <c r="B459" i="2" s="1"/>
  <c r="B518" i="2" s="1"/>
  <c r="B577" i="2" s="1"/>
  <c r="A105" i="2"/>
  <c r="A164" i="2" s="1"/>
  <c r="A223" i="2" s="1"/>
  <c r="A282" i="2" s="1"/>
  <c r="A341" i="2" s="1"/>
  <c r="A400" i="2" s="1"/>
  <c r="A459" i="2" s="1"/>
  <c r="A518" i="2" s="1"/>
  <c r="A577" i="2" s="1"/>
  <c r="F104" i="2"/>
  <c r="F163" i="2" s="1"/>
  <c r="F222" i="2" s="1"/>
  <c r="F281" i="2" s="1"/>
  <c r="F340" i="2" s="1"/>
  <c r="F399" i="2" s="1"/>
  <c r="F458" i="2" s="1"/>
  <c r="F517" i="2" s="1"/>
  <c r="F576" i="2" s="1"/>
  <c r="E104" i="2"/>
  <c r="E163" i="2" s="1"/>
  <c r="E222" i="2" s="1"/>
  <c r="E281" i="2" s="1"/>
  <c r="E340" i="2" s="1"/>
  <c r="E399" i="2" s="1"/>
  <c r="E458" i="2" s="1"/>
  <c r="E517" i="2" s="1"/>
  <c r="E576" i="2" s="1"/>
  <c r="D104" i="2"/>
  <c r="D163" i="2" s="1"/>
  <c r="D222" i="2" s="1"/>
  <c r="D281" i="2" s="1"/>
  <c r="C104" i="2"/>
  <c r="C163" i="2" s="1"/>
  <c r="C222" i="2" s="1"/>
  <c r="C281" i="2" s="1"/>
  <c r="C340" i="2" s="1"/>
  <c r="C399" i="2" s="1"/>
  <c r="C458" i="2" s="1"/>
  <c r="C517" i="2" s="1"/>
  <c r="C576" i="2" s="1"/>
  <c r="B104" i="2"/>
  <c r="B163" i="2" s="1"/>
  <c r="B222" i="2" s="1"/>
  <c r="B281" i="2" s="1"/>
  <c r="B340" i="2" s="1"/>
  <c r="B399" i="2" s="1"/>
  <c r="B458" i="2" s="1"/>
  <c r="B517" i="2" s="1"/>
  <c r="B576" i="2" s="1"/>
  <c r="A104" i="2"/>
  <c r="A163" i="2" s="1"/>
  <c r="A222" i="2" s="1"/>
  <c r="A281" i="2" s="1"/>
  <c r="A340" i="2" s="1"/>
  <c r="A399" i="2" s="1"/>
  <c r="A458" i="2" s="1"/>
  <c r="A517" i="2" s="1"/>
  <c r="A576" i="2" s="1"/>
  <c r="F103" i="2"/>
  <c r="F162" i="2" s="1"/>
  <c r="F221" i="2" s="1"/>
  <c r="F280" i="2" s="1"/>
  <c r="F339" i="2" s="1"/>
  <c r="F398" i="2" s="1"/>
  <c r="F457" i="2" s="1"/>
  <c r="F516" i="2" s="1"/>
  <c r="F575" i="2" s="1"/>
  <c r="E103" i="2"/>
  <c r="D103" i="2"/>
  <c r="D162" i="2" s="1"/>
  <c r="C103" i="2"/>
  <c r="C162" i="2" s="1"/>
  <c r="C221" i="2" s="1"/>
  <c r="C280" i="2" s="1"/>
  <c r="C339" i="2" s="1"/>
  <c r="C398" i="2" s="1"/>
  <c r="C457" i="2" s="1"/>
  <c r="C516" i="2" s="1"/>
  <c r="C575" i="2" s="1"/>
  <c r="B103" i="2"/>
  <c r="B162" i="2" s="1"/>
  <c r="B221" i="2" s="1"/>
  <c r="B280" i="2" s="1"/>
  <c r="B339" i="2" s="1"/>
  <c r="B398" i="2" s="1"/>
  <c r="B457" i="2" s="1"/>
  <c r="B516" i="2" s="1"/>
  <c r="B575" i="2" s="1"/>
  <c r="A103" i="2"/>
  <c r="A162" i="2" s="1"/>
  <c r="A221" i="2" s="1"/>
  <c r="A280" i="2" s="1"/>
  <c r="A339" i="2" s="1"/>
  <c r="A398" i="2" s="1"/>
  <c r="A457" i="2" s="1"/>
  <c r="A516" i="2" s="1"/>
  <c r="A575" i="2" s="1"/>
  <c r="F102" i="2"/>
  <c r="F161" i="2" s="1"/>
  <c r="F220" i="2" s="1"/>
  <c r="F279" i="2" s="1"/>
  <c r="F338" i="2" s="1"/>
  <c r="F397" i="2" s="1"/>
  <c r="F456" i="2" s="1"/>
  <c r="F515" i="2" s="1"/>
  <c r="F574" i="2" s="1"/>
  <c r="E102" i="2"/>
  <c r="E161" i="2" s="1"/>
  <c r="E220" i="2" s="1"/>
  <c r="E279" i="2" s="1"/>
  <c r="E338" i="2" s="1"/>
  <c r="E397" i="2" s="1"/>
  <c r="E456" i="2" s="1"/>
  <c r="E515" i="2" s="1"/>
  <c r="E574" i="2" s="1"/>
  <c r="D102" i="2"/>
  <c r="C102" i="2"/>
  <c r="C161" i="2" s="1"/>
  <c r="C220" i="2" s="1"/>
  <c r="C279" i="2" s="1"/>
  <c r="C338" i="2" s="1"/>
  <c r="C397" i="2" s="1"/>
  <c r="C456" i="2" s="1"/>
  <c r="C515" i="2" s="1"/>
  <c r="C574" i="2" s="1"/>
  <c r="B102" i="2"/>
  <c r="B161" i="2" s="1"/>
  <c r="B220" i="2" s="1"/>
  <c r="B279" i="2" s="1"/>
  <c r="B338" i="2" s="1"/>
  <c r="B397" i="2" s="1"/>
  <c r="B456" i="2" s="1"/>
  <c r="B515" i="2" s="1"/>
  <c r="B574" i="2" s="1"/>
  <c r="A102" i="2"/>
  <c r="A161" i="2" s="1"/>
  <c r="A220" i="2" s="1"/>
  <c r="A279" i="2" s="1"/>
  <c r="A338" i="2" s="1"/>
  <c r="A397" i="2" s="1"/>
  <c r="A456" i="2" s="1"/>
  <c r="A515" i="2" s="1"/>
  <c r="A574" i="2" s="1"/>
  <c r="F101" i="2"/>
  <c r="F160" i="2" s="1"/>
  <c r="F219" i="2" s="1"/>
  <c r="F278" i="2" s="1"/>
  <c r="F337" i="2" s="1"/>
  <c r="F396" i="2" s="1"/>
  <c r="F455" i="2" s="1"/>
  <c r="F514" i="2" s="1"/>
  <c r="F573" i="2" s="1"/>
  <c r="E101" i="2"/>
  <c r="E160" i="2" s="1"/>
  <c r="E219" i="2" s="1"/>
  <c r="E278" i="2" s="1"/>
  <c r="E337" i="2" s="1"/>
  <c r="E396" i="2" s="1"/>
  <c r="E455" i="2" s="1"/>
  <c r="E514" i="2" s="1"/>
  <c r="E573" i="2" s="1"/>
  <c r="D101" i="2"/>
  <c r="C101" i="2"/>
  <c r="C160" i="2" s="1"/>
  <c r="C219" i="2" s="1"/>
  <c r="C278" i="2" s="1"/>
  <c r="C337" i="2" s="1"/>
  <c r="C396" i="2" s="1"/>
  <c r="C455" i="2" s="1"/>
  <c r="C514" i="2" s="1"/>
  <c r="C573" i="2" s="1"/>
  <c r="B101" i="2"/>
  <c r="B160" i="2" s="1"/>
  <c r="B219" i="2" s="1"/>
  <c r="B278" i="2" s="1"/>
  <c r="B337" i="2" s="1"/>
  <c r="B396" i="2" s="1"/>
  <c r="B455" i="2" s="1"/>
  <c r="B514" i="2" s="1"/>
  <c r="B573" i="2" s="1"/>
  <c r="A101" i="2"/>
  <c r="A160" i="2" s="1"/>
  <c r="A219" i="2" s="1"/>
  <c r="A278" i="2" s="1"/>
  <c r="A337" i="2" s="1"/>
  <c r="A396" i="2" s="1"/>
  <c r="A455" i="2" s="1"/>
  <c r="A514" i="2" s="1"/>
  <c r="A573" i="2" s="1"/>
  <c r="F100" i="2"/>
  <c r="F159" i="2" s="1"/>
  <c r="F218" i="2" s="1"/>
  <c r="F277" i="2" s="1"/>
  <c r="F336" i="2" s="1"/>
  <c r="F395" i="2" s="1"/>
  <c r="F454" i="2" s="1"/>
  <c r="F513" i="2" s="1"/>
  <c r="F572" i="2" s="1"/>
  <c r="E100" i="2"/>
  <c r="E159" i="2" s="1"/>
  <c r="D100" i="2"/>
  <c r="D159" i="2" s="1"/>
  <c r="D218" i="2" s="1"/>
  <c r="C100" i="2"/>
  <c r="C159" i="2" s="1"/>
  <c r="C218" i="2" s="1"/>
  <c r="C277" i="2" s="1"/>
  <c r="C336" i="2" s="1"/>
  <c r="C395" i="2" s="1"/>
  <c r="C454" i="2" s="1"/>
  <c r="C513" i="2" s="1"/>
  <c r="C572" i="2" s="1"/>
  <c r="B100" i="2"/>
  <c r="B159" i="2" s="1"/>
  <c r="B218" i="2" s="1"/>
  <c r="B277" i="2" s="1"/>
  <c r="B336" i="2" s="1"/>
  <c r="B395" i="2" s="1"/>
  <c r="B454" i="2" s="1"/>
  <c r="B513" i="2" s="1"/>
  <c r="B572" i="2" s="1"/>
  <c r="A100" i="2"/>
  <c r="A159" i="2" s="1"/>
  <c r="A218" i="2" s="1"/>
  <c r="A277" i="2" s="1"/>
  <c r="A336" i="2" s="1"/>
  <c r="A395" i="2" s="1"/>
  <c r="A454" i="2" s="1"/>
  <c r="A513" i="2" s="1"/>
  <c r="A572" i="2" s="1"/>
  <c r="F99" i="2"/>
  <c r="F158" i="2" s="1"/>
  <c r="F217" i="2" s="1"/>
  <c r="F276" i="2" s="1"/>
  <c r="F335" i="2" s="1"/>
  <c r="F394" i="2" s="1"/>
  <c r="F453" i="2" s="1"/>
  <c r="F512" i="2" s="1"/>
  <c r="F571" i="2" s="1"/>
  <c r="E99" i="2"/>
  <c r="E158" i="2" s="1"/>
  <c r="E217" i="2" s="1"/>
  <c r="E276" i="2" s="1"/>
  <c r="E335" i="2" s="1"/>
  <c r="E394" i="2" s="1"/>
  <c r="E453" i="2" s="1"/>
  <c r="E512" i="2" s="1"/>
  <c r="E571" i="2" s="1"/>
  <c r="D99" i="2"/>
  <c r="C99" i="2"/>
  <c r="C158" i="2" s="1"/>
  <c r="C217" i="2" s="1"/>
  <c r="C276" i="2" s="1"/>
  <c r="C335" i="2" s="1"/>
  <c r="C394" i="2" s="1"/>
  <c r="C453" i="2" s="1"/>
  <c r="C512" i="2" s="1"/>
  <c r="C571" i="2" s="1"/>
  <c r="B99" i="2"/>
  <c r="B158" i="2" s="1"/>
  <c r="B217" i="2" s="1"/>
  <c r="B276" i="2" s="1"/>
  <c r="B335" i="2" s="1"/>
  <c r="B394" i="2" s="1"/>
  <c r="B453" i="2" s="1"/>
  <c r="B512" i="2" s="1"/>
  <c r="B571" i="2" s="1"/>
  <c r="A99" i="2"/>
  <c r="A158" i="2" s="1"/>
  <c r="A217" i="2" s="1"/>
  <c r="A276" i="2" s="1"/>
  <c r="A335" i="2" s="1"/>
  <c r="A394" i="2" s="1"/>
  <c r="A453" i="2" s="1"/>
  <c r="A512" i="2" s="1"/>
  <c r="A571" i="2" s="1"/>
  <c r="F98" i="2"/>
  <c r="F157" i="2" s="1"/>
  <c r="F216" i="2" s="1"/>
  <c r="F275" i="2" s="1"/>
  <c r="F334" i="2" s="1"/>
  <c r="F393" i="2" s="1"/>
  <c r="F452" i="2" s="1"/>
  <c r="F511" i="2" s="1"/>
  <c r="F570" i="2" s="1"/>
  <c r="E98" i="2"/>
  <c r="E157" i="2" s="1"/>
  <c r="E216" i="2" s="1"/>
  <c r="E275" i="2" s="1"/>
  <c r="E334" i="2" s="1"/>
  <c r="E393" i="2" s="1"/>
  <c r="E452" i="2" s="1"/>
  <c r="E511" i="2" s="1"/>
  <c r="E570" i="2" s="1"/>
  <c r="D98" i="2"/>
  <c r="C98" i="2"/>
  <c r="C157" i="2" s="1"/>
  <c r="C216" i="2" s="1"/>
  <c r="C275" i="2" s="1"/>
  <c r="C334" i="2" s="1"/>
  <c r="C393" i="2" s="1"/>
  <c r="C452" i="2" s="1"/>
  <c r="C511" i="2" s="1"/>
  <c r="C570" i="2" s="1"/>
  <c r="B98" i="2"/>
  <c r="B157" i="2" s="1"/>
  <c r="B216" i="2" s="1"/>
  <c r="B275" i="2" s="1"/>
  <c r="B334" i="2" s="1"/>
  <c r="B393" i="2" s="1"/>
  <c r="B452" i="2" s="1"/>
  <c r="B511" i="2" s="1"/>
  <c r="B570" i="2" s="1"/>
  <c r="A98" i="2"/>
  <c r="A157" i="2" s="1"/>
  <c r="A216" i="2" s="1"/>
  <c r="A275" i="2" s="1"/>
  <c r="A334" i="2" s="1"/>
  <c r="A393" i="2" s="1"/>
  <c r="A452" i="2" s="1"/>
  <c r="A511" i="2" s="1"/>
  <c r="A570" i="2" s="1"/>
  <c r="F97" i="2"/>
  <c r="F156" i="2" s="1"/>
  <c r="F215" i="2" s="1"/>
  <c r="F274" i="2" s="1"/>
  <c r="F333" i="2" s="1"/>
  <c r="F392" i="2" s="1"/>
  <c r="F451" i="2" s="1"/>
  <c r="F510" i="2" s="1"/>
  <c r="F569" i="2" s="1"/>
  <c r="E97" i="2"/>
  <c r="D97" i="2"/>
  <c r="D156" i="2" s="1"/>
  <c r="D215" i="2" s="1"/>
  <c r="C97" i="2"/>
  <c r="C156" i="2" s="1"/>
  <c r="C215" i="2" s="1"/>
  <c r="C274" i="2" s="1"/>
  <c r="C333" i="2" s="1"/>
  <c r="C392" i="2" s="1"/>
  <c r="C451" i="2" s="1"/>
  <c r="C510" i="2" s="1"/>
  <c r="C569" i="2" s="1"/>
  <c r="B97" i="2"/>
  <c r="B156" i="2" s="1"/>
  <c r="B215" i="2" s="1"/>
  <c r="B274" i="2" s="1"/>
  <c r="B333" i="2" s="1"/>
  <c r="B392" i="2" s="1"/>
  <c r="B451" i="2" s="1"/>
  <c r="B510" i="2" s="1"/>
  <c r="B569" i="2" s="1"/>
  <c r="A97" i="2"/>
  <c r="A156" i="2" s="1"/>
  <c r="A215" i="2" s="1"/>
  <c r="A274" i="2" s="1"/>
  <c r="A333" i="2" s="1"/>
  <c r="A392" i="2" s="1"/>
  <c r="A451" i="2" s="1"/>
  <c r="A510" i="2" s="1"/>
  <c r="A569" i="2" s="1"/>
  <c r="F96" i="2"/>
  <c r="F155" i="2" s="1"/>
  <c r="F214" i="2" s="1"/>
  <c r="F273" i="2" s="1"/>
  <c r="F332" i="2" s="1"/>
  <c r="F391" i="2" s="1"/>
  <c r="F450" i="2" s="1"/>
  <c r="F509" i="2" s="1"/>
  <c r="F568" i="2" s="1"/>
  <c r="E96" i="2"/>
  <c r="E155" i="2" s="1"/>
  <c r="E214" i="2" s="1"/>
  <c r="E273" i="2" s="1"/>
  <c r="E332" i="2" s="1"/>
  <c r="E391" i="2" s="1"/>
  <c r="E450" i="2" s="1"/>
  <c r="E509" i="2" s="1"/>
  <c r="E568" i="2" s="1"/>
  <c r="D96" i="2"/>
  <c r="D155" i="2" s="1"/>
  <c r="D214" i="2" s="1"/>
  <c r="D273" i="2" s="1"/>
  <c r="C96" i="2"/>
  <c r="C155" i="2" s="1"/>
  <c r="C214" i="2" s="1"/>
  <c r="C273" i="2" s="1"/>
  <c r="C332" i="2" s="1"/>
  <c r="C391" i="2" s="1"/>
  <c r="C450" i="2" s="1"/>
  <c r="C509" i="2" s="1"/>
  <c r="C568" i="2" s="1"/>
  <c r="B96" i="2"/>
  <c r="B155" i="2" s="1"/>
  <c r="B214" i="2" s="1"/>
  <c r="B273" i="2" s="1"/>
  <c r="B332" i="2" s="1"/>
  <c r="B391" i="2" s="1"/>
  <c r="B450" i="2" s="1"/>
  <c r="B509" i="2" s="1"/>
  <c r="B568" i="2" s="1"/>
  <c r="A96" i="2"/>
  <c r="A155" i="2" s="1"/>
  <c r="A214" i="2" s="1"/>
  <c r="A273" i="2" s="1"/>
  <c r="A332" i="2" s="1"/>
  <c r="A391" i="2" s="1"/>
  <c r="A450" i="2" s="1"/>
  <c r="A509" i="2" s="1"/>
  <c r="A568" i="2" s="1"/>
  <c r="F95" i="2"/>
  <c r="F154" i="2" s="1"/>
  <c r="F213" i="2" s="1"/>
  <c r="F272" i="2" s="1"/>
  <c r="F331" i="2" s="1"/>
  <c r="F390" i="2" s="1"/>
  <c r="F449" i="2" s="1"/>
  <c r="F508" i="2" s="1"/>
  <c r="F567" i="2" s="1"/>
  <c r="E95" i="2"/>
  <c r="E154" i="2" s="1"/>
  <c r="E213" i="2" s="1"/>
  <c r="E272" i="2" s="1"/>
  <c r="E331" i="2" s="1"/>
  <c r="E390" i="2" s="1"/>
  <c r="E449" i="2" s="1"/>
  <c r="E508" i="2" s="1"/>
  <c r="E567" i="2" s="1"/>
  <c r="D95" i="2"/>
  <c r="D154" i="2" s="1"/>
  <c r="C95" i="2"/>
  <c r="C154" i="2" s="1"/>
  <c r="C213" i="2" s="1"/>
  <c r="C272" i="2" s="1"/>
  <c r="C331" i="2" s="1"/>
  <c r="C390" i="2" s="1"/>
  <c r="C449" i="2" s="1"/>
  <c r="C508" i="2" s="1"/>
  <c r="C567" i="2" s="1"/>
  <c r="B95" i="2"/>
  <c r="B154" i="2" s="1"/>
  <c r="B213" i="2" s="1"/>
  <c r="B272" i="2" s="1"/>
  <c r="B331" i="2" s="1"/>
  <c r="B390" i="2" s="1"/>
  <c r="B449" i="2" s="1"/>
  <c r="B508" i="2" s="1"/>
  <c r="B567" i="2" s="1"/>
  <c r="A95" i="2"/>
  <c r="A154" i="2" s="1"/>
  <c r="A213" i="2" s="1"/>
  <c r="A272" i="2" s="1"/>
  <c r="A331" i="2" s="1"/>
  <c r="A390" i="2" s="1"/>
  <c r="A449" i="2" s="1"/>
  <c r="A508" i="2" s="1"/>
  <c r="A567" i="2" s="1"/>
  <c r="F94" i="2"/>
  <c r="F153" i="2" s="1"/>
  <c r="F212" i="2" s="1"/>
  <c r="F271" i="2" s="1"/>
  <c r="F330" i="2" s="1"/>
  <c r="F389" i="2" s="1"/>
  <c r="F448" i="2" s="1"/>
  <c r="F507" i="2" s="1"/>
  <c r="F566" i="2" s="1"/>
  <c r="E94" i="2"/>
  <c r="E153" i="2" s="1"/>
  <c r="E212" i="2" s="1"/>
  <c r="E271" i="2" s="1"/>
  <c r="E330" i="2" s="1"/>
  <c r="E389" i="2" s="1"/>
  <c r="E448" i="2" s="1"/>
  <c r="E507" i="2" s="1"/>
  <c r="E566" i="2" s="1"/>
  <c r="D94" i="2"/>
  <c r="C94" i="2"/>
  <c r="C153" i="2" s="1"/>
  <c r="C212" i="2" s="1"/>
  <c r="C271" i="2" s="1"/>
  <c r="C330" i="2" s="1"/>
  <c r="C389" i="2" s="1"/>
  <c r="C448" i="2" s="1"/>
  <c r="C507" i="2" s="1"/>
  <c r="C566" i="2" s="1"/>
  <c r="B94" i="2"/>
  <c r="B153" i="2" s="1"/>
  <c r="B212" i="2" s="1"/>
  <c r="B271" i="2" s="1"/>
  <c r="B330" i="2" s="1"/>
  <c r="B389" i="2" s="1"/>
  <c r="B448" i="2" s="1"/>
  <c r="B507" i="2" s="1"/>
  <c r="B566" i="2" s="1"/>
  <c r="A94" i="2"/>
  <c r="A153" i="2" s="1"/>
  <c r="A212" i="2" s="1"/>
  <c r="A271" i="2" s="1"/>
  <c r="A330" i="2" s="1"/>
  <c r="A389" i="2" s="1"/>
  <c r="A448" i="2" s="1"/>
  <c r="A507" i="2" s="1"/>
  <c r="A566" i="2" s="1"/>
  <c r="F93" i="2"/>
  <c r="F152" i="2" s="1"/>
  <c r="F211" i="2" s="1"/>
  <c r="F270" i="2" s="1"/>
  <c r="F329" i="2" s="1"/>
  <c r="F388" i="2" s="1"/>
  <c r="F447" i="2" s="1"/>
  <c r="F506" i="2" s="1"/>
  <c r="F565" i="2" s="1"/>
  <c r="E93" i="2"/>
  <c r="E152" i="2" s="1"/>
  <c r="E211" i="2" s="1"/>
  <c r="E270" i="2" s="1"/>
  <c r="E329" i="2" s="1"/>
  <c r="E388" i="2" s="1"/>
  <c r="E447" i="2" s="1"/>
  <c r="E506" i="2" s="1"/>
  <c r="E565" i="2" s="1"/>
  <c r="D93" i="2"/>
  <c r="D152" i="2" s="1"/>
  <c r="D211" i="2" s="1"/>
  <c r="C93" i="2"/>
  <c r="C152" i="2" s="1"/>
  <c r="C211" i="2" s="1"/>
  <c r="C270" i="2" s="1"/>
  <c r="C329" i="2" s="1"/>
  <c r="C388" i="2" s="1"/>
  <c r="C447" i="2" s="1"/>
  <c r="C506" i="2" s="1"/>
  <c r="C565" i="2" s="1"/>
  <c r="B93" i="2"/>
  <c r="B152" i="2" s="1"/>
  <c r="B211" i="2" s="1"/>
  <c r="B270" i="2" s="1"/>
  <c r="B329" i="2" s="1"/>
  <c r="B388" i="2" s="1"/>
  <c r="B447" i="2" s="1"/>
  <c r="B506" i="2" s="1"/>
  <c r="B565" i="2" s="1"/>
  <c r="A93" i="2"/>
  <c r="A152" i="2" s="1"/>
  <c r="A211" i="2" s="1"/>
  <c r="A270" i="2" s="1"/>
  <c r="A329" i="2" s="1"/>
  <c r="A388" i="2" s="1"/>
  <c r="A447" i="2" s="1"/>
  <c r="A506" i="2" s="1"/>
  <c r="A565" i="2" s="1"/>
  <c r="F92" i="2"/>
  <c r="F151" i="2" s="1"/>
  <c r="F210" i="2" s="1"/>
  <c r="F269" i="2" s="1"/>
  <c r="F328" i="2" s="1"/>
  <c r="F387" i="2" s="1"/>
  <c r="F446" i="2" s="1"/>
  <c r="F505" i="2" s="1"/>
  <c r="F564" i="2" s="1"/>
  <c r="E92" i="2"/>
  <c r="E151" i="2" s="1"/>
  <c r="E210" i="2" s="1"/>
  <c r="E269" i="2" s="1"/>
  <c r="E328" i="2" s="1"/>
  <c r="E387" i="2" s="1"/>
  <c r="E446" i="2" s="1"/>
  <c r="E505" i="2" s="1"/>
  <c r="E564" i="2" s="1"/>
  <c r="D92" i="2"/>
  <c r="D151" i="2" s="1"/>
  <c r="C92" i="2"/>
  <c r="C151" i="2" s="1"/>
  <c r="C210" i="2" s="1"/>
  <c r="C269" i="2" s="1"/>
  <c r="C328" i="2" s="1"/>
  <c r="C387" i="2" s="1"/>
  <c r="C446" i="2" s="1"/>
  <c r="C505" i="2" s="1"/>
  <c r="C564" i="2" s="1"/>
  <c r="B92" i="2"/>
  <c r="B151" i="2" s="1"/>
  <c r="B210" i="2" s="1"/>
  <c r="B269" i="2" s="1"/>
  <c r="B328" i="2" s="1"/>
  <c r="B387" i="2" s="1"/>
  <c r="B446" i="2" s="1"/>
  <c r="B505" i="2" s="1"/>
  <c r="B564" i="2" s="1"/>
  <c r="A92" i="2"/>
  <c r="A151" i="2" s="1"/>
  <c r="A210" i="2" s="1"/>
  <c r="A269" i="2" s="1"/>
  <c r="A328" i="2" s="1"/>
  <c r="A387" i="2" s="1"/>
  <c r="A446" i="2" s="1"/>
  <c r="A505" i="2" s="1"/>
  <c r="A564" i="2" s="1"/>
  <c r="F91" i="2"/>
  <c r="F150" i="2" s="1"/>
  <c r="F209" i="2" s="1"/>
  <c r="F268" i="2" s="1"/>
  <c r="F327" i="2" s="1"/>
  <c r="F386" i="2" s="1"/>
  <c r="F445" i="2" s="1"/>
  <c r="F504" i="2" s="1"/>
  <c r="F563" i="2" s="1"/>
  <c r="E91" i="2"/>
  <c r="E150" i="2" s="1"/>
  <c r="E209" i="2" s="1"/>
  <c r="E268" i="2" s="1"/>
  <c r="E327" i="2" s="1"/>
  <c r="E386" i="2" s="1"/>
  <c r="E445" i="2" s="1"/>
  <c r="E504" i="2" s="1"/>
  <c r="E563" i="2" s="1"/>
  <c r="D91" i="2"/>
  <c r="D150" i="2" s="1"/>
  <c r="D209" i="2" s="1"/>
  <c r="C91" i="2"/>
  <c r="C150" i="2" s="1"/>
  <c r="C209" i="2" s="1"/>
  <c r="C268" i="2" s="1"/>
  <c r="C327" i="2" s="1"/>
  <c r="C386" i="2" s="1"/>
  <c r="C445" i="2" s="1"/>
  <c r="C504" i="2" s="1"/>
  <c r="C563" i="2" s="1"/>
  <c r="B91" i="2"/>
  <c r="B150" i="2" s="1"/>
  <c r="B209" i="2" s="1"/>
  <c r="B268" i="2" s="1"/>
  <c r="B327" i="2" s="1"/>
  <c r="B386" i="2" s="1"/>
  <c r="B445" i="2" s="1"/>
  <c r="B504" i="2" s="1"/>
  <c r="B563" i="2" s="1"/>
  <c r="A91" i="2"/>
  <c r="A150" i="2" s="1"/>
  <c r="A209" i="2" s="1"/>
  <c r="A268" i="2" s="1"/>
  <c r="A327" i="2" s="1"/>
  <c r="A386" i="2" s="1"/>
  <c r="A445" i="2" s="1"/>
  <c r="A504" i="2" s="1"/>
  <c r="A563" i="2" s="1"/>
  <c r="F90" i="2"/>
  <c r="F149" i="2" s="1"/>
  <c r="F208" i="2" s="1"/>
  <c r="F267" i="2" s="1"/>
  <c r="F326" i="2" s="1"/>
  <c r="F385" i="2" s="1"/>
  <c r="F444" i="2" s="1"/>
  <c r="F503" i="2" s="1"/>
  <c r="F562" i="2" s="1"/>
  <c r="E90" i="2"/>
  <c r="E149" i="2" s="1"/>
  <c r="E208" i="2" s="1"/>
  <c r="E267" i="2" s="1"/>
  <c r="E326" i="2" s="1"/>
  <c r="E385" i="2" s="1"/>
  <c r="E444" i="2" s="1"/>
  <c r="E503" i="2" s="1"/>
  <c r="E562" i="2" s="1"/>
  <c r="D90" i="2"/>
  <c r="D149" i="2" s="1"/>
  <c r="D208" i="2" s="1"/>
  <c r="C90" i="2"/>
  <c r="C149" i="2" s="1"/>
  <c r="C208" i="2" s="1"/>
  <c r="C267" i="2" s="1"/>
  <c r="C326" i="2" s="1"/>
  <c r="C385" i="2" s="1"/>
  <c r="C444" i="2" s="1"/>
  <c r="C503" i="2" s="1"/>
  <c r="C562" i="2" s="1"/>
  <c r="B90" i="2"/>
  <c r="B149" i="2" s="1"/>
  <c r="B208" i="2" s="1"/>
  <c r="B267" i="2" s="1"/>
  <c r="B326" i="2" s="1"/>
  <c r="B385" i="2" s="1"/>
  <c r="B444" i="2" s="1"/>
  <c r="B503" i="2" s="1"/>
  <c r="B562" i="2" s="1"/>
  <c r="A90" i="2"/>
  <c r="A149" i="2" s="1"/>
  <c r="A208" i="2" s="1"/>
  <c r="A267" i="2" s="1"/>
  <c r="A326" i="2" s="1"/>
  <c r="A385" i="2" s="1"/>
  <c r="A444" i="2" s="1"/>
  <c r="A503" i="2" s="1"/>
  <c r="A562" i="2" s="1"/>
  <c r="F89" i="2"/>
  <c r="F148" i="2" s="1"/>
  <c r="F207" i="2" s="1"/>
  <c r="F266" i="2" s="1"/>
  <c r="F325" i="2" s="1"/>
  <c r="F384" i="2" s="1"/>
  <c r="F443" i="2" s="1"/>
  <c r="F502" i="2" s="1"/>
  <c r="F561" i="2" s="1"/>
  <c r="E89" i="2"/>
  <c r="E148" i="2" s="1"/>
  <c r="E207" i="2" s="1"/>
  <c r="E266" i="2" s="1"/>
  <c r="E325" i="2" s="1"/>
  <c r="E384" i="2" s="1"/>
  <c r="E443" i="2" s="1"/>
  <c r="E502" i="2" s="1"/>
  <c r="E561" i="2" s="1"/>
  <c r="D89" i="2"/>
  <c r="D148" i="2" s="1"/>
  <c r="D207" i="2" s="1"/>
  <c r="D266" i="2" s="1"/>
  <c r="C89" i="2"/>
  <c r="C148" i="2" s="1"/>
  <c r="C207" i="2" s="1"/>
  <c r="C266" i="2" s="1"/>
  <c r="C325" i="2" s="1"/>
  <c r="C384" i="2" s="1"/>
  <c r="C443" i="2" s="1"/>
  <c r="C502" i="2" s="1"/>
  <c r="C561" i="2" s="1"/>
  <c r="B89" i="2"/>
  <c r="B148" i="2" s="1"/>
  <c r="B207" i="2" s="1"/>
  <c r="B266" i="2" s="1"/>
  <c r="B325" i="2" s="1"/>
  <c r="B384" i="2" s="1"/>
  <c r="B443" i="2" s="1"/>
  <c r="B502" i="2" s="1"/>
  <c r="B561" i="2" s="1"/>
  <c r="A89" i="2"/>
  <c r="A148" i="2" s="1"/>
  <c r="A207" i="2" s="1"/>
  <c r="A266" i="2" s="1"/>
  <c r="A325" i="2" s="1"/>
  <c r="A384" i="2" s="1"/>
  <c r="A443" i="2" s="1"/>
  <c r="A502" i="2" s="1"/>
  <c r="A561" i="2" s="1"/>
  <c r="F88" i="2"/>
  <c r="F147" i="2" s="1"/>
  <c r="F206" i="2" s="1"/>
  <c r="F265" i="2" s="1"/>
  <c r="F324" i="2" s="1"/>
  <c r="F383" i="2" s="1"/>
  <c r="F442" i="2" s="1"/>
  <c r="F501" i="2" s="1"/>
  <c r="F560" i="2" s="1"/>
  <c r="E88" i="2"/>
  <c r="E147" i="2" s="1"/>
  <c r="E206" i="2" s="1"/>
  <c r="E265" i="2" s="1"/>
  <c r="E324" i="2" s="1"/>
  <c r="E383" i="2" s="1"/>
  <c r="E442" i="2" s="1"/>
  <c r="E501" i="2" s="1"/>
  <c r="E560" i="2" s="1"/>
  <c r="D88" i="2"/>
  <c r="C88" i="2"/>
  <c r="C147" i="2" s="1"/>
  <c r="C206" i="2" s="1"/>
  <c r="C265" i="2" s="1"/>
  <c r="C324" i="2" s="1"/>
  <c r="C383" i="2" s="1"/>
  <c r="C442" i="2" s="1"/>
  <c r="C501" i="2" s="1"/>
  <c r="C560" i="2" s="1"/>
  <c r="B88" i="2"/>
  <c r="B147" i="2" s="1"/>
  <c r="B206" i="2" s="1"/>
  <c r="B265" i="2" s="1"/>
  <c r="B324" i="2" s="1"/>
  <c r="B383" i="2" s="1"/>
  <c r="B442" i="2" s="1"/>
  <c r="B501" i="2" s="1"/>
  <c r="B560" i="2" s="1"/>
  <c r="A88" i="2"/>
  <c r="A147" i="2" s="1"/>
  <c r="A206" i="2" s="1"/>
  <c r="A265" i="2" s="1"/>
  <c r="A324" i="2" s="1"/>
  <c r="A383" i="2" s="1"/>
  <c r="A442" i="2" s="1"/>
  <c r="A501" i="2" s="1"/>
  <c r="A560" i="2" s="1"/>
  <c r="F87" i="2"/>
  <c r="F146" i="2" s="1"/>
  <c r="F205" i="2" s="1"/>
  <c r="F264" i="2" s="1"/>
  <c r="F323" i="2" s="1"/>
  <c r="F382" i="2" s="1"/>
  <c r="F441" i="2" s="1"/>
  <c r="F500" i="2" s="1"/>
  <c r="F559" i="2" s="1"/>
  <c r="E87" i="2"/>
  <c r="E146" i="2" s="1"/>
  <c r="E205" i="2" s="1"/>
  <c r="E264" i="2" s="1"/>
  <c r="E323" i="2" s="1"/>
  <c r="E382" i="2" s="1"/>
  <c r="E441" i="2" s="1"/>
  <c r="E500" i="2" s="1"/>
  <c r="E559" i="2" s="1"/>
  <c r="D87" i="2"/>
  <c r="D146" i="2" s="1"/>
  <c r="C87" i="2"/>
  <c r="C146" i="2" s="1"/>
  <c r="C205" i="2" s="1"/>
  <c r="C264" i="2" s="1"/>
  <c r="C323" i="2" s="1"/>
  <c r="C382" i="2" s="1"/>
  <c r="C441" i="2" s="1"/>
  <c r="C500" i="2" s="1"/>
  <c r="C559" i="2" s="1"/>
  <c r="B87" i="2"/>
  <c r="B146" i="2" s="1"/>
  <c r="B205" i="2" s="1"/>
  <c r="B264" i="2" s="1"/>
  <c r="B323" i="2" s="1"/>
  <c r="B382" i="2" s="1"/>
  <c r="B441" i="2" s="1"/>
  <c r="B500" i="2" s="1"/>
  <c r="B559" i="2" s="1"/>
  <c r="A87" i="2"/>
  <c r="A146" i="2" s="1"/>
  <c r="A205" i="2" s="1"/>
  <c r="A264" i="2" s="1"/>
  <c r="A323" i="2" s="1"/>
  <c r="A382" i="2" s="1"/>
  <c r="A441" i="2" s="1"/>
  <c r="A500" i="2" s="1"/>
  <c r="A559" i="2" s="1"/>
  <c r="F86" i="2"/>
  <c r="F145" i="2" s="1"/>
  <c r="F204" i="2" s="1"/>
  <c r="F263" i="2" s="1"/>
  <c r="F322" i="2" s="1"/>
  <c r="F381" i="2" s="1"/>
  <c r="F440" i="2" s="1"/>
  <c r="F499" i="2" s="1"/>
  <c r="F558" i="2" s="1"/>
  <c r="E86" i="2"/>
  <c r="E145" i="2" s="1"/>
  <c r="E204" i="2" s="1"/>
  <c r="E263" i="2" s="1"/>
  <c r="E322" i="2" s="1"/>
  <c r="E381" i="2" s="1"/>
  <c r="E440" i="2" s="1"/>
  <c r="E499" i="2" s="1"/>
  <c r="E558" i="2" s="1"/>
  <c r="D86" i="2"/>
  <c r="D145" i="2" s="1"/>
  <c r="D204" i="2" s="1"/>
  <c r="C86" i="2"/>
  <c r="C145" i="2" s="1"/>
  <c r="C204" i="2" s="1"/>
  <c r="C263" i="2" s="1"/>
  <c r="C322" i="2" s="1"/>
  <c r="C381" i="2" s="1"/>
  <c r="C440" i="2" s="1"/>
  <c r="C499" i="2" s="1"/>
  <c r="C558" i="2" s="1"/>
  <c r="B86" i="2"/>
  <c r="B145" i="2" s="1"/>
  <c r="B204" i="2" s="1"/>
  <c r="B263" i="2" s="1"/>
  <c r="B322" i="2" s="1"/>
  <c r="B381" i="2" s="1"/>
  <c r="B440" i="2" s="1"/>
  <c r="B499" i="2" s="1"/>
  <c r="B558" i="2" s="1"/>
  <c r="A86" i="2"/>
  <c r="A145" i="2" s="1"/>
  <c r="A204" i="2" s="1"/>
  <c r="A263" i="2" s="1"/>
  <c r="A322" i="2" s="1"/>
  <c r="A381" i="2" s="1"/>
  <c r="A440" i="2" s="1"/>
  <c r="A499" i="2" s="1"/>
  <c r="A558" i="2" s="1"/>
  <c r="F85" i="2"/>
  <c r="F144" i="2" s="1"/>
  <c r="F203" i="2" s="1"/>
  <c r="F262" i="2" s="1"/>
  <c r="F321" i="2" s="1"/>
  <c r="F380" i="2" s="1"/>
  <c r="F439" i="2" s="1"/>
  <c r="F498" i="2" s="1"/>
  <c r="F557" i="2" s="1"/>
  <c r="E85" i="2"/>
  <c r="E144" i="2" s="1"/>
  <c r="E203" i="2" s="1"/>
  <c r="E262" i="2" s="1"/>
  <c r="E321" i="2" s="1"/>
  <c r="E380" i="2" s="1"/>
  <c r="E439" i="2" s="1"/>
  <c r="E498" i="2" s="1"/>
  <c r="E557" i="2" s="1"/>
  <c r="D85" i="2"/>
  <c r="D144" i="2" s="1"/>
  <c r="C85" i="2"/>
  <c r="C144" i="2" s="1"/>
  <c r="C203" i="2" s="1"/>
  <c r="C262" i="2" s="1"/>
  <c r="C321" i="2" s="1"/>
  <c r="C380" i="2" s="1"/>
  <c r="C439" i="2" s="1"/>
  <c r="C498" i="2" s="1"/>
  <c r="C557" i="2" s="1"/>
  <c r="B85" i="2"/>
  <c r="B144" i="2" s="1"/>
  <c r="B203" i="2" s="1"/>
  <c r="B262" i="2" s="1"/>
  <c r="B321" i="2" s="1"/>
  <c r="B380" i="2" s="1"/>
  <c r="B439" i="2" s="1"/>
  <c r="B498" i="2" s="1"/>
  <c r="B557" i="2" s="1"/>
  <c r="A85" i="2"/>
  <c r="A144" i="2" s="1"/>
  <c r="A203" i="2" s="1"/>
  <c r="A262" i="2" s="1"/>
  <c r="A321" i="2" s="1"/>
  <c r="A380" i="2" s="1"/>
  <c r="A439" i="2" s="1"/>
  <c r="A498" i="2" s="1"/>
  <c r="A557" i="2" s="1"/>
  <c r="F84" i="2"/>
  <c r="F143" i="2" s="1"/>
  <c r="F202" i="2" s="1"/>
  <c r="F261" i="2" s="1"/>
  <c r="F320" i="2" s="1"/>
  <c r="F379" i="2" s="1"/>
  <c r="F438" i="2" s="1"/>
  <c r="F497" i="2" s="1"/>
  <c r="F556" i="2" s="1"/>
  <c r="E84" i="2"/>
  <c r="E143" i="2" s="1"/>
  <c r="E202" i="2" s="1"/>
  <c r="E261" i="2" s="1"/>
  <c r="E320" i="2" s="1"/>
  <c r="E379" i="2" s="1"/>
  <c r="E438" i="2" s="1"/>
  <c r="E497" i="2" s="1"/>
  <c r="E556" i="2" s="1"/>
  <c r="D84" i="2"/>
  <c r="D143" i="2" s="1"/>
  <c r="C84" i="2"/>
  <c r="C143" i="2" s="1"/>
  <c r="C202" i="2" s="1"/>
  <c r="C261" i="2" s="1"/>
  <c r="C320" i="2" s="1"/>
  <c r="C379" i="2" s="1"/>
  <c r="C438" i="2" s="1"/>
  <c r="C497" i="2" s="1"/>
  <c r="C556" i="2" s="1"/>
  <c r="B84" i="2"/>
  <c r="B143" i="2" s="1"/>
  <c r="B202" i="2" s="1"/>
  <c r="B261" i="2" s="1"/>
  <c r="B320" i="2" s="1"/>
  <c r="B379" i="2" s="1"/>
  <c r="B438" i="2" s="1"/>
  <c r="B497" i="2" s="1"/>
  <c r="B556" i="2" s="1"/>
  <c r="A84" i="2"/>
  <c r="A143" i="2" s="1"/>
  <c r="A202" i="2" s="1"/>
  <c r="A261" i="2" s="1"/>
  <c r="A320" i="2" s="1"/>
  <c r="A379" i="2" s="1"/>
  <c r="A438" i="2" s="1"/>
  <c r="A497" i="2" s="1"/>
  <c r="A556" i="2" s="1"/>
  <c r="F83" i="2"/>
  <c r="F142" i="2" s="1"/>
  <c r="F201" i="2" s="1"/>
  <c r="F260" i="2" s="1"/>
  <c r="F319" i="2" s="1"/>
  <c r="F378" i="2" s="1"/>
  <c r="F437" i="2" s="1"/>
  <c r="F496" i="2" s="1"/>
  <c r="F555" i="2" s="1"/>
  <c r="E83" i="2"/>
  <c r="E142" i="2" s="1"/>
  <c r="E201" i="2" s="1"/>
  <c r="E260" i="2" s="1"/>
  <c r="E319" i="2" s="1"/>
  <c r="E378" i="2" s="1"/>
  <c r="E437" i="2" s="1"/>
  <c r="E496" i="2" s="1"/>
  <c r="E555" i="2" s="1"/>
  <c r="D83" i="2"/>
  <c r="D142" i="2" s="1"/>
  <c r="D201" i="2" s="1"/>
  <c r="C83" i="2"/>
  <c r="C142" i="2" s="1"/>
  <c r="C201" i="2" s="1"/>
  <c r="C260" i="2" s="1"/>
  <c r="C319" i="2" s="1"/>
  <c r="C378" i="2" s="1"/>
  <c r="C437" i="2" s="1"/>
  <c r="C496" i="2" s="1"/>
  <c r="C555" i="2" s="1"/>
  <c r="B83" i="2"/>
  <c r="B142" i="2" s="1"/>
  <c r="B201" i="2" s="1"/>
  <c r="B260" i="2" s="1"/>
  <c r="B319" i="2" s="1"/>
  <c r="B378" i="2" s="1"/>
  <c r="B437" i="2" s="1"/>
  <c r="B496" i="2" s="1"/>
  <c r="B555" i="2" s="1"/>
  <c r="A83" i="2"/>
  <c r="A142" i="2" s="1"/>
  <c r="A201" i="2" s="1"/>
  <c r="A260" i="2" s="1"/>
  <c r="A319" i="2" s="1"/>
  <c r="A378" i="2" s="1"/>
  <c r="A437" i="2" s="1"/>
  <c r="A496" i="2" s="1"/>
  <c r="A555" i="2" s="1"/>
  <c r="F82" i="2"/>
  <c r="F141" i="2" s="1"/>
  <c r="F200" i="2" s="1"/>
  <c r="F259" i="2" s="1"/>
  <c r="F318" i="2" s="1"/>
  <c r="F377" i="2" s="1"/>
  <c r="F436" i="2" s="1"/>
  <c r="F495" i="2" s="1"/>
  <c r="F554" i="2" s="1"/>
  <c r="E82" i="2"/>
  <c r="E141" i="2" s="1"/>
  <c r="E200" i="2" s="1"/>
  <c r="E259" i="2" s="1"/>
  <c r="E318" i="2" s="1"/>
  <c r="E377" i="2" s="1"/>
  <c r="E436" i="2" s="1"/>
  <c r="E495" i="2" s="1"/>
  <c r="E554" i="2" s="1"/>
  <c r="D82" i="2"/>
  <c r="D141" i="2" s="1"/>
  <c r="C82" i="2"/>
  <c r="C141" i="2" s="1"/>
  <c r="C200" i="2" s="1"/>
  <c r="C259" i="2" s="1"/>
  <c r="C318" i="2" s="1"/>
  <c r="C377" i="2" s="1"/>
  <c r="C436" i="2" s="1"/>
  <c r="C495" i="2" s="1"/>
  <c r="C554" i="2" s="1"/>
  <c r="B82" i="2"/>
  <c r="B141" i="2" s="1"/>
  <c r="B200" i="2" s="1"/>
  <c r="B259" i="2" s="1"/>
  <c r="B318" i="2" s="1"/>
  <c r="B377" i="2" s="1"/>
  <c r="B436" i="2" s="1"/>
  <c r="B495" i="2" s="1"/>
  <c r="B554" i="2" s="1"/>
  <c r="A82" i="2"/>
  <c r="A141" i="2" s="1"/>
  <c r="A200" i="2" s="1"/>
  <c r="A259" i="2" s="1"/>
  <c r="A318" i="2" s="1"/>
  <c r="A377" i="2" s="1"/>
  <c r="A436" i="2" s="1"/>
  <c r="A495" i="2" s="1"/>
  <c r="A554" i="2" s="1"/>
  <c r="F81" i="2"/>
  <c r="F140" i="2" s="1"/>
  <c r="F199" i="2" s="1"/>
  <c r="F258" i="2" s="1"/>
  <c r="F317" i="2" s="1"/>
  <c r="F376" i="2" s="1"/>
  <c r="F435" i="2" s="1"/>
  <c r="F494" i="2" s="1"/>
  <c r="F553" i="2" s="1"/>
  <c r="E81" i="2"/>
  <c r="E140" i="2" s="1"/>
  <c r="E199" i="2" s="1"/>
  <c r="E258" i="2" s="1"/>
  <c r="E317" i="2" s="1"/>
  <c r="E376" i="2" s="1"/>
  <c r="E435" i="2" s="1"/>
  <c r="E494" i="2" s="1"/>
  <c r="E553" i="2" s="1"/>
  <c r="D81" i="2"/>
  <c r="C81" i="2"/>
  <c r="C140" i="2" s="1"/>
  <c r="C199" i="2" s="1"/>
  <c r="C258" i="2" s="1"/>
  <c r="C317" i="2" s="1"/>
  <c r="C376" i="2" s="1"/>
  <c r="C435" i="2" s="1"/>
  <c r="C494" i="2" s="1"/>
  <c r="C553" i="2" s="1"/>
  <c r="B81" i="2"/>
  <c r="B140" i="2" s="1"/>
  <c r="B199" i="2" s="1"/>
  <c r="B258" i="2" s="1"/>
  <c r="B317" i="2" s="1"/>
  <c r="B376" i="2" s="1"/>
  <c r="B435" i="2" s="1"/>
  <c r="B494" i="2" s="1"/>
  <c r="B553" i="2" s="1"/>
  <c r="A81" i="2"/>
  <c r="A140" i="2" s="1"/>
  <c r="A199" i="2" s="1"/>
  <c r="A258" i="2" s="1"/>
  <c r="A317" i="2" s="1"/>
  <c r="A376" i="2" s="1"/>
  <c r="A435" i="2" s="1"/>
  <c r="A494" i="2" s="1"/>
  <c r="A553" i="2" s="1"/>
  <c r="F80" i="2"/>
  <c r="F139" i="2" s="1"/>
  <c r="F198" i="2" s="1"/>
  <c r="F257" i="2" s="1"/>
  <c r="F316" i="2" s="1"/>
  <c r="F375" i="2" s="1"/>
  <c r="F434" i="2" s="1"/>
  <c r="F493" i="2" s="1"/>
  <c r="F552" i="2" s="1"/>
  <c r="E80" i="2"/>
  <c r="E139" i="2" s="1"/>
  <c r="E198" i="2" s="1"/>
  <c r="E257" i="2" s="1"/>
  <c r="E316" i="2" s="1"/>
  <c r="E375" i="2" s="1"/>
  <c r="E434" i="2" s="1"/>
  <c r="E493" i="2" s="1"/>
  <c r="E552" i="2" s="1"/>
  <c r="D80" i="2"/>
  <c r="D139" i="2" s="1"/>
  <c r="D198" i="2" s="1"/>
  <c r="C80" i="2"/>
  <c r="C139" i="2" s="1"/>
  <c r="C198" i="2" s="1"/>
  <c r="C257" i="2" s="1"/>
  <c r="C316" i="2" s="1"/>
  <c r="C375" i="2" s="1"/>
  <c r="C434" i="2" s="1"/>
  <c r="C493" i="2" s="1"/>
  <c r="C552" i="2" s="1"/>
  <c r="B80" i="2"/>
  <c r="B139" i="2" s="1"/>
  <c r="B198" i="2" s="1"/>
  <c r="B257" i="2" s="1"/>
  <c r="B316" i="2" s="1"/>
  <c r="B375" i="2" s="1"/>
  <c r="B434" i="2" s="1"/>
  <c r="B493" i="2" s="1"/>
  <c r="B552" i="2" s="1"/>
  <c r="A80" i="2"/>
  <c r="A139" i="2" s="1"/>
  <c r="A198" i="2" s="1"/>
  <c r="A257" i="2" s="1"/>
  <c r="A316" i="2" s="1"/>
  <c r="A375" i="2" s="1"/>
  <c r="A434" i="2" s="1"/>
  <c r="A493" i="2" s="1"/>
  <c r="A552" i="2" s="1"/>
  <c r="F79" i="2"/>
  <c r="F138" i="2" s="1"/>
  <c r="F197" i="2" s="1"/>
  <c r="F256" i="2" s="1"/>
  <c r="F315" i="2" s="1"/>
  <c r="F374" i="2" s="1"/>
  <c r="F433" i="2" s="1"/>
  <c r="F492" i="2" s="1"/>
  <c r="F551" i="2" s="1"/>
  <c r="E79" i="2"/>
  <c r="E138" i="2" s="1"/>
  <c r="E197" i="2" s="1"/>
  <c r="E256" i="2" s="1"/>
  <c r="E315" i="2" s="1"/>
  <c r="E374" i="2" s="1"/>
  <c r="E433" i="2" s="1"/>
  <c r="E492" i="2" s="1"/>
  <c r="E551" i="2" s="1"/>
  <c r="D79" i="2"/>
  <c r="D138" i="2" s="1"/>
  <c r="C79" i="2"/>
  <c r="C138" i="2" s="1"/>
  <c r="C197" i="2" s="1"/>
  <c r="C256" i="2" s="1"/>
  <c r="C315" i="2" s="1"/>
  <c r="C374" i="2" s="1"/>
  <c r="C433" i="2" s="1"/>
  <c r="C492" i="2" s="1"/>
  <c r="C551" i="2" s="1"/>
  <c r="B79" i="2"/>
  <c r="B138" i="2" s="1"/>
  <c r="B197" i="2" s="1"/>
  <c r="B256" i="2" s="1"/>
  <c r="B315" i="2" s="1"/>
  <c r="B374" i="2" s="1"/>
  <c r="B433" i="2" s="1"/>
  <c r="B492" i="2" s="1"/>
  <c r="B551" i="2" s="1"/>
  <c r="A79" i="2"/>
  <c r="A138" i="2" s="1"/>
  <c r="A197" i="2" s="1"/>
  <c r="A256" i="2" s="1"/>
  <c r="A315" i="2" s="1"/>
  <c r="A374" i="2" s="1"/>
  <c r="A433" i="2" s="1"/>
  <c r="A492" i="2" s="1"/>
  <c r="A551" i="2" s="1"/>
  <c r="F78" i="2"/>
  <c r="F137" i="2" s="1"/>
  <c r="F196" i="2" s="1"/>
  <c r="F255" i="2" s="1"/>
  <c r="F314" i="2" s="1"/>
  <c r="F373" i="2" s="1"/>
  <c r="F432" i="2" s="1"/>
  <c r="F491" i="2" s="1"/>
  <c r="F550" i="2" s="1"/>
  <c r="E78" i="2"/>
  <c r="E137" i="2" s="1"/>
  <c r="E196" i="2" s="1"/>
  <c r="E255" i="2" s="1"/>
  <c r="E314" i="2" s="1"/>
  <c r="E373" i="2" s="1"/>
  <c r="E432" i="2" s="1"/>
  <c r="E491" i="2" s="1"/>
  <c r="E550" i="2" s="1"/>
  <c r="D78" i="2"/>
  <c r="D137" i="2" s="1"/>
  <c r="C78" i="2"/>
  <c r="C137" i="2" s="1"/>
  <c r="C196" i="2" s="1"/>
  <c r="C255" i="2" s="1"/>
  <c r="C314" i="2" s="1"/>
  <c r="C373" i="2" s="1"/>
  <c r="C432" i="2" s="1"/>
  <c r="C491" i="2" s="1"/>
  <c r="C550" i="2" s="1"/>
  <c r="B78" i="2"/>
  <c r="B137" i="2" s="1"/>
  <c r="B196" i="2" s="1"/>
  <c r="B255" i="2" s="1"/>
  <c r="B314" i="2" s="1"/>
  <c r="B373" i="2" s="1"/>
  <c r="B432" i="2" s="1"/>
  <c r="B491" i="2" s="1"/>
  <c r="B550" i="2" s="1"/>
  <c r="A78" i="2"/>
  <c r="A137" i="2" s="1"/>
  <c r="A196" i="2" s="1"/>
  <c r="A255" i="2" s="1"/>
  <c r="A314" i="2" s="1"/>
  <c r="A373" i="2" s="1"/>
  <c r="A432" i="2" s="1"/>
  <c r="A491" i="2" s="1"/>
  <c r="A550" i="2" s="1"/>
  <c r="F77" i="2"/>
  <c r="F136" i="2" s="1"/>
  <c r="F195" i="2" s="1"/>
  <c r="F254" i="2" s="1"/>
  <c r="F313" i="2" s="1"/>
  <c r="F372" i="2" s="1"/>
  <c r="F431" i="2" s="1"/>
  <c r="F490" i="2" s="1"/>
  <c r="F549" i="2" s="1"/>
  <c r="E77" i="2"/>
  <c r="E136" i="2" s="1"/>
  <c r="E195" i="2" s="1"/>
  <c r="E254" i="2" s="1"/>
  <c r="E313" i="2" s="1"/>
  <c r="E372" i="2" s="1"/>
  <c r="E431" i="2" s="1"/>
  <c r="E490" i="2" s="1"/>
  <c r="E549" i="2" s="1"/>
  <c r="D77" i="2"/>
  <c r="D136" i="2" s="1"/>
  <c r="C77" i="2"/>
  <c r="C136" i="2" s="1"/>
  <c r="C195" i="2" s="1"/>
  <c r="C254" i="2" s="1"/>
  <c r="C313" i="2" s="1"/>
  <c r="C372" i="2" s="1"/>
  <c r="C431" i="2" s="1"/>
  <c r="C490" i="2" s="1"/>
  <c r="C549" i="2" s="1"/>
  <c r="B77" i="2"/>
  <c r="B136" i="2" s="1"/>
  <c r="B195" i="2" s="1"/>
  <c r="B254" i="2" s="1"/>
  <c r="B313" i="2" s="1"/>
  <c r="B372" i="2" s="1"/>
  <c r="B431" i="2" s="1"/>
  <c r="B490" i="2" s="1"/>
  <c r="B549" i="2" s="1"/>
  <c r="A77" i="2"/>
  <c r="A136" i="2" s="1"/>
  <c r="A195" i="2" s="1"/>
  <c r="A254" i="2" s="1"/>
  <c r="A313" i="2" s="1"/>
  <c r="A372" i="2" s="1"/>
  <c r="A431" i="2" s="1"/>
  <c r="A490" i="2" s="1"/>
  <c r="A549" i="2" s="1"/>
  <c r="F76" i="2"/>
  <c r="F135" i="2" s="1"/>
  <c r="F194" i="2" s="1"/>
  <c r="F253" i="2" s="1"/>
  <c r="F312" i="2" s="1"/>
  <c r="F371" i="2" s="1"/>
  <c r="F430" i="2" s="1"/>
  <c r="F489" i="2" s="1"/>
  <c r="F548" i="2" s="1"/>
  <c r="E76" i="2"/>
  <c r="E135" i="2" s="1"/>
  <c r="E194" i="2" s="1"/>
  <c r="E253" i="2" s="1"/>
  <c r="E312" i="2" s="1"/>
  <c r="E371" i="2" s="1"/>
  <c r="E430" i="2" s="1"/>
  <c r="E489" i="2" s="1"/>
  <c r="E548" i="2" s="1"/>
  <c r="D76" i="2"/>
  <c r="C76" i="2"/>
  <c r="C135" i="2" s="1"/>
  <c r="C194" i="2" s="1"/>
  <c r="C253" i="2" s="1"/>
  <c r="C312" i="2" s="1"/>
  <c r="C371" i="2" s="1"/>
  <c r="C430" i="2" s="1"/>
  <c r="C489" i="2" s="1"/>
  <c r="C548" i="2" s="1"/>
  <c r="B76" i="2"/>
  <c r="B135" i="2" s="1"/>
  <c r="B194" i="2" s="1"/>
  <c r="B253" i="2" s="1"/>
  <c r="B312" i="2" s="1"/>
  <c r="B371" i="2" s="1"/>
  <c r="B430" i="2" s="1"/>
  <c r="B489" i="2" s="1"/>
  <c r="B548" i="2" s="1"/>
  <c r="A76" i="2"/>
  <c r="A135" i="2" s="1"/>
  <c r="A194" i="2" s="1"/>
  <c r="A253" i="2" s="1"/>
  <c r="A312" i="2" s="1"/>
  <c r="A371" i="2" s="1"/>
  <c r="A430" i="2" s="1"/>
  <c r="A489" i="2" s="1"/>
  <c r="A548" i="2" s="1"/>
  <c r="F75" i="2"/>
  <c r="F134" i="2" s="1"/>
  <c r="F193" i="2" s="1"/>
  <c r="F252" i="2" s="1"/>
  <c r="F311" i="2" s="1"/>
  <c r="F370" i="2" s="1"/>
  <c r="F429" i="2" s="1"/>
  <c r="F488" i="2" s="1"/>
  <c r="F547" i="2" s="1"/>
  <c r="E75" i="2"/>
  <c r="E134" i="2" s="1"/>
  <c r="E193" i="2" s="1"/>
  <c r="E252" i="2" s="1"/>
  <c r="E311" i="2" s="1"/>
  <c r="E370" i="2" s="1"/>
  <c r="E429" i="2" s="1"/>
  <c r="E488" i="2" s="1"/>
  <c r="E547" i="2" s="1"/>
  <c r="D75" i="2"/>
  <c r="C75" i="2"/>
  <c r="C134" i="2" s="1"/>
  <c r="C193" i="2" s="1"/>
  <c r="C252" i="2" s="1"/>
  <c r="C311" i="2" s="1"/>
  <c r="C370" i="2" s="1"/>
  <c r="C429" i="2" s="1"/>
  <c r="C488" i="2" s="1"/>
  <c r="C547" i="2" s="1"/>
  <c r="B75" i="2"/>
  <c r="B134" i="2" s="1"/>
  <c r="B193" i="2" s="1"/>
  <c r="B252" i="2" s="1"/>
  <c r="B311" i="2" s="1"/>
  <c r="B370" i="2" s="1"/>
  <c r="B429" i="2" s="1"/>
  <c r="B488" i="2" s="1"/>
  <c r="B547" i="2" s="1"/>
  <c r="A75" i="2"/>
  <c r="A134" i="2" s="1"/>
  <c r="A193" i="2" s="1"/>
  <c r="A252" i="2" s="1"/>
  <c r="A311" i="2" s="1"/>
  <c r="A370" i="2" s="1"/>
  <c r="A429" i="2" s="1"/>
  <c r="A488" i="2" s="1"/>
  <c r="A547" i="2" s="1"/>
  <c r="F74" i="2"/>
  <c r="F133" i="2" s="1"/>
  <c r="F192" i="2" s="1"/>
  <c r="F251" i="2" s="1"/>
  <c r="F310" i="2" s="1"/>
  <c r="F369" i="2" s="1"/>
  <c r="F428" i="2" s="1"/>
  <c r="F487" i="2" s="1"/>
  <c r="F546" i="2" s="1"/>
  <c r="E74" i="2"/>
  <c r="D74" i="2"/>
  <c r="D133" i="2" s="1"/>
  <c r="D192" i="2" s="1"/>
  <c r="C74" i="2"/>
  <c r="C133" i="2" s="1"/>
  <c r="C192" i="2" s="1"/>
  <c r="C251" i="2" s="1"/>
  <c r="C310" i="2" s="1"/>
  <c r="C369" i="2" s="1"/>
  <c r="C428" i="2" s="1"/>
  <c r="C487" i="2" s="1"/>
  <c r="C546" i="2" s="1"/>
  <c r="B74" i="2"/>
  <c r="B133" i="2" s="1"/>
  <c r="B192" i="2" s="1"/>
  <c r="B251" i="2" s="1"/>
  <c r="B310" i="2" s="1"/>
  <c r="B369" i="2" s="1"/>
  <c r="B428" i="2" s="1"/>
  <c r="B487" i="2" s="1"/>
  <c r="B546" i="2" s="1"/>
  <c r="A74" i="2"/>
  <c r="A133" i="2" s="1"/>
  <c r="A192" i="2" s="1"/>
  <c r="A251" i="2" s="1"/>
  <c r="A310" i="2" s="1"/>
  <c r="A369" i="2" s="1"/>
  <c r="A428" i="2" s="1"/>
  <c r="A487" i="2" s="1"/>
  <c r="A546" i="2" s="1"/>
  <c r="F73" i="2"/>
  <c r="F132" i="2" s="1"/>
  <c r="F191" i="2" s="1"/>
  <c r="F250" i="2" s="1"/>
  <c r="F309" i="2" s="1"/>
  <c r="F368" i="2" s="1"/>
  <c r="F427" i="2" s="1"/>
  <c r="F486" i="2" s="1"/>
  <c r="F545" i="2" s="1"/>
  <c r="E73" i="2"/>
  <c r="E132" i="2" s="1"/>
  <c r="E191" i="2" s="1"/>
  <c r="E250" i="2" s="1"/>
  <c r="E309" i="2" s="1"/>
  <c r="E368" i="2" s="1"/>
  <c r="E427" i="2" s="1"/>
  <c r="E486" i="2" s="1"/>
  <c r="E545" i="2" s="1"/>
  <c r="D73" i="2"/>
  <c r="D132" i="2" s="1"/>
  <c r="C73" i="2"/>
  <c r="C132" i="2" s="1"/>
  <c r="C191" i="2" s="1"/>
  <c r="C250" i="2" s="1"/>
  <c r="C309" i="2" s="1"/>
  <c r="C368" i="2" s="1"/>
  <c r="C427" i="2" s="1"/>
  <c r="C486" i="2" s="1"/>
  <c r="C545" i="2" s="1"/>
  <c r="B73" i="2"/>
  <c r="B132" i="2" s="1"/>
  <c r="B191" i="2" s="1"/>
  <c r="B250" i="2" s="1"/>
  <c r="B309" i="2" s="1"/>
  <c r="B368" i="2" s="1"/>
  <c r="B427" i="2" s="1"/>
  <c r="B486" i="2" s="1"/>
  <c r="B545" i="2" s="1"/>
  <c r="A73" i="2"/>
  <c r="A132" i="2" s="1"/>
  <c r="A191" i="2" s="1"/>
  <c r="A250" i="2" s="1"/>
  <c r="A309" i="2" s="1"/>
  <c r="A368" i="2" s="1"/>
  <c r="A427" i="2" s="1"/>
  <c r="A486" i="2" s="1"/>
  <c r="A545" i="2" s="1"/>
  <c r="F72" i="2"/>
  <c r="F131" i="2" s="1"/>
  <c r="F190" i="2" s="1"/>
  <c r="F249" i="2" s="1"/>
  <c r="F308" i="2" s="1"/>
  <c r="F367" i="2" s="1"/>
  <c r="F426" i="2" s="1"/>
  <c r="F485" i="2" s="1"/>
  <c r="F544" i="2" s="1"/>
  <c r="E72" i="2"/>
  <c r="E131" i="2" s="1"/>
  <c r="E190" i="2" s="1"/>
  <c r="E249" i="2" s="1"/>
  <c r="E308" i="2" s="1"/>
  <c r="E367" i="2" s="1"/>
  <c r="E426" i="2" s="1"/>
  <c r="E485" i="2" s="1"/>
  <c r="E544" i="2" s="1"/>
  <c r="D72" i="2"/>
  <c r="D131" i="2" s="1"/>
  <c r="C72" i="2"/>
  <c r="C131" i="2" s="1"/>
  <c r="C190" i="2" s="1"/>
  <c r="C249" i="2" s="1"/>
  <c r="C308" i="2" s="1"/>
  <c r="C367" i="2" s="1"/>
  <c r="C426" i="2" s="1"/>
  <c r="C485" i="2" s="1"/>
  <c r="C544" i="2" s="1"/>
  <c r="B72" i="2"/>
  <c r="B131" i="2" s="1"/>
  <c r="B190" i="2" s="1"/>
  <c r="B249" i="2" s="1"/>
  <c r="B308" i="2" s="1"/>
  <c r="B367" i="2" s="1"/>
  <c r="B426" i="2" s="1"/>
  <c r="B485" i="2" s="1"/>
  <c r="B544" i="2" s="1"/>
  <c r="A72" i="2"/>
  <c r="A131" i="2" s="1"/>
  <c r="A190" i="2" s="1"/>
  <c r="A249" i="2" s="1"/>
  <c r="A308" i="2" s="1"/>
  <c r="A367" i="2" s="1"/>
  <c r="A426" i="2" s="1"/>
  <c r="A485" i="2" s="1"/>
  <c r="A544" i="2" s="1"/>
  <c r="F71" i="2"/>
  <c r="F130" i="2" s="1"/>
  <c r="F189" i="2" s="1"/>
  <c r="F248" i="2" s="1"/>
  <c r="F307" i="2" s="1"/>
  <c r="F366" i="2" s="1"/>
  <c r="F425" i="2" s="1"/>
  <c r="F484" i="2" s="1"/>
  <c r="F543" i="2" s="1"/>
  <c r="E71" i="2"/>
  <c r="E130" i="2" s="1"/>
  <c r="E189" i="2" s="1"/>
  <c r="E248" i="2" s="1"/>
  <c r="E307" i="2" s="1"/>
  <c r="E366" i="2" s="1"/>
  <c r="E425" i="2" s="1"/>
  <c r="E484" i="2" s="1"/>
  <c r="E543" i="2" s="1"/>
  <c r="D71" i="2"/>
  <c r="C71" i="2"/>
  <c r="C130" i="2" s="1"/>
  <c r="C189" i="2" s="1"/>
  <c r="C248" i="2" s="1"/>
  <c r="C307" i="2" s="1"/>
  <c r="C366" i="2" s="1"/>
  <c r="C425" i="2" s="1"/>
  <c r="C484" i="2" s="1"/>
  <c r="C543" i="2" s="1"/>
  <c r="B71" i="2"/>
  <c r="B130" i="2" s="1"/>
  <c r="B189" i="2" s="1"/>
  <c r="B248" i="2" s="1"/>
  <c r="B307" i="2" s="1"/>
  <c r="B366" i="2" s="1"/>
  <c r="B425" i="2" s="1"/>
  <c r="B484" i="2" s="1"/>
  <c r="B543" i="2" s="1"/>
  <c r="A71" i="2"/>
  <c r="A130" i="2" s="1"/>
  <c r="A189" i="2" s="1"/>
  <c r="A248" i="2" s="1"/>
  <c r="A307" i="2" s="1"/>
  <c r="A366" i="2" s="1"/>
  <c r="A425" i="2" s="1"/>
  <c r="A484" i="2" s="1"/>
  <c r="A543" i="2" s="1"/>
  <c r="F70" i="2"/>
  <c r="F129" i="2" s="1"/>
  <c r="F188" i="2" s="1"/>
  <c r="F247" i="2" s="1"/>
  <c r="F306" i="2" s="1"/>
  <c r="F365" i="2" s="1"/>
  <c r="F424" i="2" s="1"/>
  <c r="F483" i="2" s="1"/>
  <c r="F542" i="2" s="1"/>
  <c r="E70" i="2"/>
  <c r="E129" i="2" s="1"/>
  <c r="E188" i="2" s="1"/>
  <c r="E247" i="2" s="1"/>
  <c r="E306" i="2" s="1"/>
  <c r="E365" i="2" s="1"/>
  <c r="E424" i="2" s="1"/>
  <c r="E483" i="2" s="1"/>
  <c r="E542" i="2" s="1"/>
  <c r="D70" i="2"/>
  <c r="D129" i="2" s="1"/>
  <c r="D188" i="2" s="1"/>
  <c r="C70" i="2"/>
  <c r="C129" i="2" s="1"/>
  <c r="C188" i="2" s="1"/>
  <c r="C247" i="2" s="1"/>
  <c r="C306" i="2" s="1"/>
  <c r="C365" i="2" s="1"/>
  <c r="C424" i="2" s="1"/>
  <c r="C483" i="2" s="1"/>
  <c r="C542" i="2" s="1"/>
  <c r="B70" i="2"/>
  <c r="B129" i="2" s="1"/>
  <c r="B188" i="2" s="1"/>
  <c r="B247" i="2" s="1"/>
  <c r="B306" i="2" s="1"/>
  <c r="B365" i="2" s="1"/>
  <c r="B424" i="2" s="1"/>
  <c r="B483" i="2" s="1"/>
  <c r="B542" i="2" s="1"/>
  <c r="A70" i="2"/>
  <c r="A129" i="2" s="1"/>
  <c r="A188" i="2" s="1"/>
  <c r="A247" i="2" s="1"/>
  <c r="A306" i="2" s="1"/>
  <c r="A365" i="2" s="1"/>
  <c r="A424" i="2" s="1"/>
  <c r="A483" i="2" s="1"/>
  <c r="A542" i="2" s="1"/>
  <c r="F69" i="2"/>
  <c r="F128" i="2" s="1"/>
  <c r="F187" i="2" s="1"/>
  <c r="F246" i="2" s="1"/>
  <c r="F305" i="2" s="1"/>
  <c r="F364" i="2" s="1"/>
  <c r="F423" i="2" s="1"/>
  <c r="F482" i="2" s="1"/>
  <c r="F541" i="2" s="1"/>
  <c r="E69" i="2"/>
  <c r="E128" i="2" s="1"/>
  <c r="E187" i="2" s="1"/>
  <c r="E246" i="2" s="1"/>
  <c r="E305" i="2" s="1"/>
  <c r="E364" i="2" s="1"/>
  <c r="E423" i="2" s="1"/>
  <c r="E482" i="2" s="1"/>
  <c r="E541" i="2" s="1"/>
  <c r="D69" i="2"/>
  <c r="D128" i="2" s="1"/>
  <c r="C69" i="2"/>
  <c r="C128" i="2" s="1"/>
  <c r="C187" i="2" s="1"/>
  <c r="C246" i="2" s="1"/>
  <c r="C305" i="2" s="1"/>
  <c r="C364" i="2" s="1"/>
  <c r="C423" i="2" s="1"/>
  <c r="C482" i="2" s="1"/>
  <c r="C541" i="2" s="1"/>
  <c r="B69" i="2"/>
  <c r="B128" i="2" s="1"/>
  <c r="B187" i="2" s="1"/>
  <c r="B246" i="2" s="1"/>
  <c r="B305" i="2" s="1"/>
  <c r="B364" i="2" s="1"/>
  <c r="B423" i="2" s="1"/>
  <c r="B482" i="2" s="1"/>
  <c r="B541" i="2" s="1"/>
  <c r="A69" i="2"/>
  <c r="A128" i="2" s="1"/>
  <c r="A187" i="2" s="1"/>
  <c r="A246" i="2" s="1"/>
  <c r="A305" i="2" s="1"/>
  <c r="A364" i="2" s="1"/>
  <c r="A423" i="2" s="1"/>
  <c r="A482" i="2" s="1"/>
  <c r="A541" i="2" s="1"/>
  <c r="F68" i="2"/>
  <c r="F127" i="2" s="1"/>
  <c r="F186" i="2" s="1"/>
  <c r="F245" i="2" s="1"/>
  <c r="F304" i="2" s="1"/>
  <c r="F363" i="2" s="1"/>
  <c r="F422" i="2" s="1"/>
  <c r="F481" i="2" s="1"/>
  <c r="F540" i="2" s="1"/>
  <c r="E68" i="2"/>
  <c r="E127" i="2" s="1"/>
  <c r="E186" i="2" s="1"/>
  <c r="E245" i="2" s="1"/>
  <c r="E304" i="2" s="1"/>
  <c r="E363" i="2" s="1"/>
  <c r="E422" i="2" s="1"/>
  <c r="E481" i="2" s="1"/>
  <c r="E540" i="2" s="1"/>
  <c r="D68" i="2"/>
  <c r="D127" i="2" s="1"/>
  <c r="C68" i="2"/>
  <c r="C127" i="2" s="1"/>
  <c r="C186" i="2" s="1"/>
  <c r="C245" i="2" s="1"/>
  <c r="C304" i="2" s="1"/>
  <c r="C363" i="2" s="1"/>
  <c r="C422" i="2" s="1"/>
  <c r="C481" i="2" s="1"/>
  <c r="C540" i="2" s="1"/>
  <c r="B68" i="2"/>
  <c r="B127" i="2" s="1"/>
  <c r="B186" i="2" s="1"/>
  <c r="B245" i="2" s="1"/>
  <c r="B304" i="2" s="1"/>
  <c r="B363" i="2" s="1"/>
  <c r="B422" i="2" s="1"/>
  <c r="B481" i="2" s="1"/>
  <c r="B540" i="2" s="1"/>
  <c r="A68" i="2"/>
  <c r="A127" i="2" s="1"/>
  <c r="A186" i="2" s="1"/>
  <c r="A245" i="2" s="1"/>
  <c r="A304" i="2" s="1"/>
  <c r="A363" i="2" s="1"/>
  <c r="A422" i="2" s="1"/>
  <c r="A481" i="2" s="1"/>
  <c r="A540" i="2" s="1"/>
  <c r="F67" i="2"/>
  <c r="F126" i="2" s="1"/>
  <c r="F185" i="2" s="1"/>
  <c r="F244" i="2" s="1"/>
  <c r="F303" i="2" s="1"/>
  <c r="F362" i="2" s="1"/>
  <c r="F421" i="2" s="1"/>
  <c r="F480" i="2" s="1"/>
  <c r="F539" i="2" s="1"/>
  <c r="E67" i="2"/>
  <c r="E126" i="2" s="1"/>
  <c r="E185" i="2" s="1"/>
  <c r="E244" i="2" s="1"/>
  <c r="E303" i="2" s="1"/>
  <c r="E362" i="2" s="1"/>
  <c r="E421" i="2" s="1"/>
  <c r="E480" i="2" s="1"/>
  <c r="E539" i="2" s="1"/>
  <c r="D67" i="2"/>
  <c r="D126" i="2" s="1"/>
  <c r="D185" i="2" s="1"/>
  <c r="D244" i="2" s="1"/>
  <c r="C67" i="2"/>
  <c r="C126" i="2" s="1"/>
  <c r="C185" i="2" s="1"/>
  <c r="C244" i="2" s="1"/>
  <c r="C303" i="2" s="1"/>
  <c r="C362" i="2" s="1"/>
  <c r="C421" i="2" s="1"/>
  <c r="C480" i="2" s="1"/>
  <c r="C539" i="2" s="1"/>
  <c r="B67" i="2"/>
  <c r="B126" i="2" s="1"/>
  <c r="B185" i="2" s="1"/>
  <c r="B244" i="2" s="1"/>
  <c r="B303" i="2" s="1"/>
  <c r="B362" i="2" s="1"/>
  <c r="B421" i="2" s="1"/>
  <c r="B480" i="2" s="1"/>
  <c r="B539" i="2" s="1"/>
  <c r="A67" i="2"/>
  <c r="A126" i="2" s="1"/>
  <c r="A185" i="2" s="1"/>
  <c r="A244" i="2" s="1"/>
  <c r="A303" i="2" s="1"/>
  <c r="A362" i="2" s="1"/>
  <c r="A421" i="2" s="1"/>
  <c r="A480" i="2" s="1"/>
  <c r="A539" i="2" s="1"/>
  <c r="F66" i="2"/>
  <c r="F125" i="2" s="1"/>
  <c r="F184" i="2" s="1"/>
  <c r="F243" i="2" s="1"/>
  <c r="F302" i="2" s="1"/>
  <c r="F361" i="2" s="1"/>
  <c r="F420" i="2" s="1"/>
  <c r="F479" i="2" s="1"/>
  <c r="F538" i="2" s="1"/>
  <c r="E66" i="2"/>
  <c r="E125" i="2" s="1"/>
  <c r="E184" i="2" s="1"/>
  <c r="E243" i="2" s="1"/>
  <c r="E302" i="2" s="1"/>
  <c r="E361" i="2" s="1"/>
  <c r="E420" i="2" s="1"/>
  <c r="E479" i="2" s="1"/>
  <c r="E538" i="2" s="1"/>
  <c r="D66" i="2"/>
  <c r="D125" i="2" s="1"/>
  <c r="D184" i="2" s="1"/>
  <c r="D243" i="2" s="1"/>
  <c r="C66" i="2"/>
  <c r="C125" i="2" s="1"/>
  <c r="C184" i="2" s="1"/>
  <c r="C243" i="2" s="1"/>
  <c r="C302" i="2" s="1"/>
  <c r="C361" i="2" s="1"/>
  <c r="C420" i="2" s="1"/>
  <c r="C479" i="2" s="1"/>
  <c r="C538" i="2" s="1"/>
  <c r="B66" i="2"/>
  <c r="B125" i="2" s="1"/>
  <c r="B184" i="2" s="1"/>
  <c r="B243" i="2" s="1"/>
  <c r="B302" i="2" s="1"/>
  <c r="B361" i="2" s="1"/>
  <c r="B420" i="2" s="1"/>
  <c r="B479" i="2" s="1"/>
  <c r="B538" i="2" s="1"/>
  <c r="A66" i="2"/>
  <c r="A125" i="2" s="1"/>
  <c r="A184" i="2" s="1"/>
  <c r="A243" i="2" s="1"/>
  <c r="A302" i="2" s="1"/>
  <c r="A361" i="2" s="1"/>
  <c r="A420" i="2" s="1"/>
  <c r="A479" i="2" s="1"/>
  <c r="A538" i="2" s="1"/>
  <c r="F65" i="2"/>
  <c r="F124" i="2" s="1"/>
  <c r="F183" i="2" s="1"/>
  <c r="F242" i="2" s="1"/>
  <c r="F301" i="2" s="1"/>
  <c r="F360" i="2" s="1"/>
  <c r="F419" i="2" s="1"/>
  <c r="F478" i="2" s="1"/>
  <c r="F537" i="2" s="1"/>
  <c r="E65" i="2"/>
  <c r="E124" i="2" s="1"/>
  <c r="E183" i="2" s="1"/>
  <c r="E242" i="2" s="1"/>
  <c r="E301" i="2" s="1"/>
  <c r="E360" i="2" s="1"/>
  <c r="E419" i="2" s="1"/>
  <c r="E478" i="2" s="1"/>
  <c r="E537" i="2" s="1"/>
  <c r="D65" i="2"/>
  <c r="D124" i="2" s="1"/>
  <c r="C65" i="2"/>
  <c r="C124" i="2" s="1"/>
  <c r="C183" i="2" s="1"/>
  <c r="C242" i="2" s="1"/>
  <c r="C301" i="2" s="1"/>
  <c r="C360" i="2" s="1"/>
  <c r="C419" i="2" s="1"/>
  <c r="C478" i="2" s="1"/>
  <c r="C537" i="2" s="1"/>
  <c r="B65" i="2"/>
  <c r="B124" i="2" s="1"/>
  <c r="B183" i="2" s="1"/>
  <c r="B242" i="2" s="1"/>
  <c r="B301" i="2" s="1"/>
  <c r="B360" i="2" s="1"/>
  <c r="B419" i="2" s="1"/>
  <c r="B478" i="2" s="1"/>
  <c r="B537" i="2" s="1"/>
  <c r="A65" i="2"/>
  <c r="A124" i="2" s="1"/>
  <c r="A183" i="2" s="1"/>
  <c r="A242" i="2" s="1"/>
  <c r="A301" i="2" s="1"/>
  <c r="A360" i="2" s="1"/>
  <c r="A419" i="2" s="1"/>
  <c r="A478" i="2" s="1"/>
  <c r="A537" i="2" s="1"/>
  <c r="F64" i="2"/>
  <c r="F123" i="2" s="1"/>
  <c r="F182" i="2" s="1"/>
  <c r="F241" i="2" s="1"/>
  <c r="F300" i="2" s="1"/>
  <c r="F359" i="2" s="1"/>
  <c r="F418" i="2" s="1"/>
  <c r="F477" i="2" s="1"/>
  <c r="F536" i="2" s="1"/>
  <c r="E64" i="2"/>
  <c r="E123" i="2" s="1"/>
  <c r="E182" i="2" s="1"/>
  <c r="E241" i="2" s="1"/>
  <c r="E300" i="2" s="1"/>
  <c r="E359" i="2" s="1"/>
  <c r="E418" i="2" s="1"/>
  <c r="E477" i="2" s="1"/>
  <c r="E536" i="2" s="1"/>
  <c r="D64" i="2"/>
  <c r="D123" i="2" s="1"/>
  <c r="D182" i="2" s="1"/>
  <c r="D241" i="2" s="1"/>
  <c r="C64" i="2"/>
  <c r="C123" i="2" s="1"/>
  <c r="C182" i="2" s="1"/>
  <c r="C241" i="2" s="1"/>
  <c r="C300" i="2" s="1"/>
  <c r="C359" i="2" s="1"/>
  <c r="C418" i="2" s="1"/>
  <c r="C477" i="2" s="1"/>
  <c r="C536" i="2" s="1"/>
  <c r="B64" i="2"/>
  <c r="B123" i="2" s="1"/>
  <c r="B182" i="2" s="1"/>
  <c r="B241" i="2" s="1"/>
  <c r="B300" i="2" s="1"/>
  <c r="B359" i="2" s="1"/>
  <c r="B418" i="2" s="1"/>
  <c r="B477" i="2" s="1"/>
  <c r="B536" i="2" s="1"/>
  <c r="A64" i="2"/>
  <c r="A123" i="2" s="1"/>
  <c r="A182" i="2" s="1"/>
  <c r="A241" i="2" s="1"/>
  <c r="A300" i="2" s="1"/>
  <c r="A359" i="2" s="1"/>
  <c r="A418" i="2" s="1"/>
  <c r="A477" i="2" s="1"/>
  <c r="A536" i="2" s="1"/>
  <c r="F63" i="2"/>
  <c r="F122" i="2" s="1"/>
  <c r="F181" i="2" s="1"/>
  <c r="F240" i="2" s="1"/>
  <c r="F299" i="2" s="1"/>
  <c r="F358" i="2" s="1"/>
  <c r="F417" i="2" s="1"/>
  <c r="F476" i="2" s="1"/>
  <c r="F535" i="2" s="1"/>
  <c r="E63" i="2"/>
  <c r="D63" i="2"/>
  <c r="D122" i="2" s="1"/>
  <c r="C63" i="2"/>
  <c r="C122" i="2" s="1"/>
  <c r="C181" i="2" s="1"/>
  <c r="C240" i="2" s="1"/>
  <c r="C299" i="2" s="1"/>
  <c r="C358" i="2" s="1"/>
  <c r="C417" i="2" s="1"/>
  <c r="C476" i="2" s="1"/>
  <c r="C535" i="2" s="1"/>
  <c r="B63" i="2"/>
  <c r="B122" i="2" s="1"/>
  <c r="B181" i="2" s="1"/>
  <c r="B240" i="2" s="1"/>
  <c r="B299" i="2" s="1"/>
  <c r="B358" i="2" s="1"/>
  <c r="B417" i="2" s="1"/>
  <c r="B476" i="2" s="1"/>
  <c r="B535" i="2" s="1"/>
  <c r="A63" i="2"/>
  <c r="A122" i="2" s="1"/>
  <c r="A181" i="2" s="1"/>
  <c r="A240" i="2" s="1"/>
  <c r="A299" i="2" s="1"/>
  <c r="A358" i="2" s="1"/>
  <c r="A417" i="2" s="1"/>
  <c r="A476" i="2" s="1"/>
  <c r="A535" i="2" s="1"/>
  <c r="F62" i="2"/>
  <c r="F121" i="2" s="1"/>
  <c r="F180" i="2" s="1"/>
  <c r="F239" i="2" s="1"/>
  <c r="F298" i="2" s="1"/>
  <c r="F357" i="2" s="1"/>
  <c r="F416" i="2" s="1"/>
  <c r="F475" i="2" s="1"/>
  <c r="F534" i="2" s="1"/>
  <c r="E62" i="2"/>
  <c r="E121" i="2" s="1"/>
  <c r="E180" i="2" s="1"/>
  <c r="E239" i="2" s="1"/>
  <c r="E298" i="2" s="1"/>
  <c r="E357" i="2" s="1"/>
  <c r="E416" i="2" s="1"/>
  <c r="E475" i="2" s="1"/>
  <c r="E534" i="2" s="1"/>
  <c r="D62" i="2"/>
  <c r="D121" i="2" s="1"/>
  <c r="C62" i="2"/>
  <c r="C121" i="2" s="1"/>
  <c r="C180" i="2" s="1"/>
  <c r="C239" i="2" s="1"/>
  <c r="C298" i="2" s="1"/>
  <c r="C357" i="2" s="1"/>
  <c r="C416" i="2" s="1"/>
  <c r="C475" i="2" s="1"/>
  <c r="C534" i="2" s="1"/>
  <c r="B62" i="2"/>
  <c r="B121" i="2" s="1"/>
  <c r="B180" i="2" s="1"/>
  <c r="B239" i="2" s="1"/>
  <c r="B298" i="2" s="1"/>
  <c r="B357" i="2" s="1"/>
  <c r="B416" i="2" s="1"/>
  <c r="B475" i="2" s="1"/>
  <c r="B534" i="2" s="1"/>
  <c r="A62" i="2"/>
  <c r="A121" i="2" s="1"/>
  <c r="A180" i="2" s="1"/>
  <c r="A239" i="2" s="1"/>
  <c r="A298" i="2" s="1"/>
  <c r="A357" i="2" s="1"/>
  <c r="A416" i="2" s="1"/>
  <c r="A475" i="2" s="1"/>
  <c r="A534" i="2" s="1"/>
  <c r="F61" i="2"/>
  <c r="F120" i="2" s="1"/>
  <c r="F179" i="2" s="1"/>
  <c r="F238" i="2" s="1"/>
  <c r="F297" i="2" s="1"/>
  <c r="F356" i="2" s="1"/>
  <c r="F415" i="2" s="1"/>
  <c r="F474" i="2" s="1"/>
  <c r="F533" i="2" s="1"/>
  <c r="E61" i="2"/>
  <c r="E120" i="2" s="1"/>
  <c r="E179" i="2" s="1"/>
  <c r="E238" i="2" s="1"/>
  <c r="E297" i="2" s="1"/>
  <c r="E356" i="2" s="1"/>
  <c r="E415" i="2" s="1"/>
  <c r="E474" i="2" s="1"/>
  <c r="E533" i="2" s="1"/>
  <c r="D61" i="2"/>
  <c r="D120" i="2" s="1"/>
  <c r="D179" i="2" s="1"/>
  <c r="D238" i="2" s="1"/>
  <c r="D297" i="2" s="1"/>
  <c r="C61" i="2"/>
  <c r="C120" i="2" s="1"/>
  <c r="C179" i="2" s="1"/>
  <c r="C238" i="2" s="1"/>
  <c r="C297" i="2" s="1"/>
  <c r="C356" i="2" s="1"/>
  <c r="C415" i="2" s="1"/>
  <c r="C474" i="2" s="1"/>
  <c r="C533" i="2" s="1"/>
  <c r="B61" i="2"/>
  <c r="B120" i="2" s="1"/>
  <c r="B179" i="2" s="1"/>
  <c r="B238" i="2" s="1"/>
  <c r="B297" i="2" s="1"/>
  <c r="B356" i="2" s="1"/>
  <c r="B415" i="2" s="1"/>
  <c r="B474" i="2" s="1"/>
  <c r="B533" i="2" s="1"/>
  <c r="A61" i="2"/>
  <c r="A120" i="2" s="1"/>
  <c r="A179" i="2" s="1"/>
  <c r="A238" i="2" s="1"/>
  <c r="A297" i="2" s="1"/>
  <c r="A356" i="2" s="1"/>
  <c r="A415" i="2" s="1"/>
  <c r="A474" i="2" s="1"/>
  <c r="A533" i="2" s="1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A60" i="2"/>
  <c r="V60" i="2"/>
  <c r="Z60" i="2" s="1"/>
  <c r="U60" i="2"/>
  <c r="Y60" i="2" s="1"/>
  <c r="T60" i="2"/>
  <c r="X60" i="2" s="1"/>
  <c r="S60" i="2"/>
  <c r="W60" i="2" s="1"/>
  <c r="P60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A59" i="2"/>
  <c r="V59" i="2"/>
  <c r="Z59" i="2" s="1"/>
  <c r="U59" i="2"/>
  <c r="Y59" i="2" s="1"/>
  <c r="T59" i="2"/>
  <c r="X59" i="2" s="1"/>
  <c r="S59" i="2"/>
  <c r="W59" i="2" s="1"/>
  <c r="P59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A58" i="2"/>
  <c r="V58" i="2"/>
  <c r="Z58" i="2" s="1"/>
  <c r="U58" i="2"/>
  <c r="Y58" i="2" s="1"/>
  <c r="T58" i="2"/>
  <c r="X58" i="2" s="1"/>
  <c r="S58" i="2"/>
  <c r="W58" i="2" s="1"/>
  <c r="P58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A57" i="2"/>
  <c r="V57" i="2"/>
  <c r="Z57" i="2" s="1"/>
  <c r="U57" i="2"/>
  <c r="Y57" i="2" s="1"/>
  <c r="T57" i="2"/>
  <c r="X57" i="2" s="1"/>
  <c r="S57" i="2"/>
  <c r="W57" i="2" s="1"/>
  <c r="P57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A56" i="2"/>
  <c r="V56" i="2"/>
  <c r="Z56" i="2" s="1"/>
  <c r="U56" i="2"/>
  <c r="Y56" i="2" s="1"/>
  <c r="T56" i="2"/>
  <c r="X56" i="2" s="1"/>
  <c r="S56" i="2"/>
  <c r="W56" i="2" s="1"/>
  <c r="P56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A55" i="2"/>
  <c r="V55" i="2"/>
  <c r="Z55" i="2" s="1"/>
  <c r="U55" i="2"/>
  <c r="Y55" i="2" s="1"/>
  <c r="T55" i="2"/>
  <c r="X55" i="2" s="1"/>
  <c r="S55" i="2"/>
  <c r="W55" i="2" s="1"/>
  <c r="P55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A54" i="2"/>
  <c r="V54" i="2"/>
  <c r="Z54" i="2" s="1"/>
  <c r="U54" i="2"/>
  <c r="Y54" i="2" s="1"/>
  <c r="T54" i="2"/>
  <c r="X54" i="2" s="1"/>
  <c r="S54" i="2"/>
  <c r="W54" i="2" s="1"/>
  <c r="P54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A53" i="2"/>
  <c r="V53" i="2"/>
  <c r="Z53" i="2" s="1"/>
  <c r="U53" i="2"/>
  <c r="Y53" i="2" s="1"/>
  <c r="T53" i="2"/>
  <c r="X53" i="2" s="1"/>
  <c r="S53" i="2"/>
  <c r="W53" i="2" s="1"/>
  <c r="P53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A52" i="2"/>
  <c r="V52" i="2"/>
  <c r="Z52" i="2" s="1"/>
  <c r="U52" i="2"/>
  <c r="Y52" i="2" s="1"/>
  <c r="T52" i="2"/>
  <c r="X52" i="2" s="1"/>
  <c r="S52" i="2"/>
  <c r="W52" i="2" s="1"/>
  <c r="P52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A51" i="2"/>
  <c r="V51" i="2"/>
  <c r="Z51" i="2" s="1"/>
  <c r="U51" i="2"/>
  <c r="Y51" i="2" s="1"/>
  <c r="T51" i="2"/>
  <c r="X51" i="2" s="1"/>
  <c r="S51" i="2"/>
  <c r="W51" i="2" s="1"/>
  <c r="P51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A50" i="2"/>
  <c r="V50" i="2"/>
  <c r="Z50" i="2" s="1"/>
  <c r="U50" i="2"/>
  <c r="Y50" i="2" s="1"/>
  <c r="T50" i="2"/>
  <c r="X50" i="2" s="1"/>
  <c r="S50" i="2"/>
  <c r="W50" i="2" s="1"/>
  <c r="P50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A49" i="2"/>
  <c r="V49" i="2"/>
  <c r="Z49" i="2" s="1"/>
  <c r="U49" i="2"/>
  <c r="Y49" i="2" s="1"/>
  <c r="T49" i="2"/>
  <c r="X49" i="2" s="1"/>
  <c r="S49" i="2"/>
  <c r="W49" i="2" s="1"/>
  <c r="P49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A48" i="2"/>
  <c r="V48" i="2"/>
  <c r="Z48" i="2" s="1"/>
  <c r="U48" i="2"/>
  <c r="Y48" i="2" s="1"/>
  <c r="T48" i="2"/>
  <c r="X48" i="2" s="1"/>
  <c r="S48" i="2"/>
  <c r="W48" i="2" s="1"/>
  <c r="P48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A47" i="2"/>
  <c r="V47" i="2"/>
  <c r="Z47" i="2" s="1"/>
  <c r="U47" i="2"/>
  <c r="Y47" i="2" s="1"/>
  <c r="T47" i="2"/>
  <c r="X47" i="2" s="1"/>
  <c r="S47" i="2"/>
  <c r="W47" i="2" s="1"/>
  <c r="P47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A46" i="2"/>
  <c r="V46" i="2"/>
  <c r="Z46" i="2" s="1"/>
  <c r="U46" i="2"/>
  <c r="Y46" i="2" s="1"/>
  <c r="T46" i="2"/>
  <c r="X46" i="2" s="1"/>
  <c r="S46" i="2"/>
  <c r="W46" i="2" s="1"/>
  <c r="P46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A45" i="2"/>
  <c r="V45" i="2"/>
  <c r="Z45" i="2" s="1"/>
  <c r="U45" i="2"/>
  <c r="Y45" i="2" s="1"/>
  <c r="T45" i="2"/>
  <c r="X45" i="2" s="1"/>
  <c r="S45" i="2"/>
  <c r="W45" i="2" s="1"/>
  <c r="P45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A44" i="2"/>
  <c r="V44" i="2"/>
  <c r="Z44" i="2" s="1"/>
  <c r="U44" i="2"/>
  <c r="Y44" i="2" s="1"/>
  <c r="T44" i="2"/>
  <c r="X44" i="2" s="1"/>
  <c r="S44" i="2"/>
  <c r="W44" i="2" s="1"/>
  <c r="P44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A43" i="2"/>
  <c r="V43" i="2"/>
  <c r="Z43" i="2" s="1"/>
  <c r="U43" i="2"/>
  <c r="Y43" i="2" s="1"/>
  <c r="T43" i="2"/>
  <c r="X43" i="2" s="1"/>
  <c r="S43" i="2"/>
  <c r="W43" i="2" s="1"/>
  <c r="P43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A42" i="2"/>
  <c r="V42" i="2"/>
  <c r="Z42" i="2" s="1"/>
  <c r="U42" i="2"/>
  <c r="Y42" i="2" s="1"/>
  <c r="T42" i="2"/>
  <c r="X42" i="2" s="1"/>
  <c r="S42" i="2"/>
  <c r="W42" i="2" s="1"/>
  <c r="P42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A41" i="2"/>
  <c r="V41" i="2"/>
  <c r="Z41" i="2" s="1"/>
  <c r="U41" i="2"/>
  <c r="Y41" i="2" s="1"/>
  <c r="T41" i="2"/>
  <c r="X41" i="2" s="1"/>
  <c r="S41" i="2"/>
  <c r="W41" i="2" s="1"/>
  <c r="P41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A40" i="2"/>
  <c r="V40" i="2"/>
  <c r="Z40" i="2" s="1"/>
  <c r="U40" i="2"/>
  <c r="Y40" i="2" s="1"/>
  <c r="T40" i="2"/>
  <c r="X40" i="2" s="1"/>
  <c r="S40" i="2"/>
  <c r="W40" i="2" s="1"/>
  <c r="P40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A39" i="2"/>
  <c r="V39" i="2"/>
  <c r="Z39" i="2" s="1"/>
  <c r="U39" i="2"/>
  <c r="Y39" i="2" s="1"/>
  <c r="T39" i="2"/>
  <c r="X39" i="2" s="1"/>
  <c r="S39" i="2"/>
  <c r="W39" i="2" s="1"/>
  <c r="P39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A38" i="2"/>
  <c r="V38" i="2"/>
  <c r="Z38" i="2" s="1"/>
  <c r="U38" i="2"/>
  <c r="Y38" i="2" s="1"/>
  <c r="T38" i="2"/>
  <c r="X38" i="2" s="1"/>
  <c r="S38" i="2"/>
  <c r="W38" i="2" s="1"/>
  <c r="P38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A37" i="2"/>
  <c r="V37" i="2"/>
  <c r="Z37" i="2" s="1"/>
  <c r="U37" i="2"/>
  <c r="Y37" i="2" s="1"/>
  <c r="T37" i="2"/>
  <c r="X37" i="2" s="1"/>
  <c r="S37" i="2"/>
  <c r="W37" i="2" s="1"/>
  <c r="P37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A36" i="2"/>
  <c r="V36" i="2"/>
  <c r="Z36" i="2" s="1"/>
  <c r="U36" i="2"/>
  <c r="Y36" i="2" s="1"/>
  <c r="T36" i="2"/>
  <c r="X36" i="2" s="1"/>
  <c r="S36" i="2"/>
  <c r="W36" i="2" s="1"/>
  <c r="P36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A35" i="2"/>
  <c r="V35" i="2"/>
  <c r="Z35" i="2" s="1"/>
  <c r="U35" i="2"/>
  <c r="Y35" i="2" s="1"/>
  <c r="T35" i="2"/>
  <c r="X35" i="2" s="1"/>
  <c r="S35" i="2"/>
  <c r="W35" i="2" s="1"/>
  <c r="P35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A34" i="2"/>
  <c r="V34" i="2"/>
  <c r="Z34" i="2" s="1"/>
  <c r="U34" i="2"/>
  <c r="Y34" i="2" s="1"/>
  <c r="T34" i="2"/>
  <c r="X34" i="2" s="1"/>
  <c r="S34" i="2"/>
  <c r="W34" i="2" s="1"/>
  <c r="P34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A33" i="2"/>
  <c r="V33" i="2"/>
  <c r="Z33" i="2" s="1"/>
  <c r="U33" i="2"/>
  <c r="Y33" i="2" s="1"/>
  <c r="T33" i="2"/>
  <c r="X33" i="2" s="1"/>
  <c r="S33" i="2"/>
  <c r="W33" i="2" s="1"/>
  <c r="P33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A32" i="2"/>
  <c r="V32" i="2"/>
  <c r="Z32" i="2" s="1"/>
  <c r="U32" i="2"/>
  <c r="Y32" i="2" s="1"/>
  <c r="T32" i="2"/>
  <c r="X32" i="2" s="1"/>
  <c r="S32" i="2"/>
  <c r="W32" i="2" s="1"/>
  <c r="P32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A31" i="2"/>
  <c r="V31" i="2"/>
  <c r="Z31" i="2" s="1"/>
  <c r="U31" i="2"/>
  <c r="Y31" i="2" s="1"/>
  <c r="T31" i="2"/>
  <c r="X31" i="2" s="1"/>
  <c r="S31" i="2"/>
  <c r="W31" i="2" s="1"/>
  <c r="P31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A30" i="2"/>
  <c r="V30" i="2"/>
  <c r="Z30" i="2" s="1"/>
  <c r="U30" i="2"/>
  <c r="Y30" i="2" s="1"/>
  <c r="T30" i="2"/>
  <c r="X30" i="2" s="1"/>
  <c r="S30" i="2"/>
  <c r="W30" i="2" s="1"/>
  <c r="P30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A29" i="2"/>
  <c r="V29" i="2"/>
  <c r="Z29" i="2" s="1"/>
  <c r="U29" i="2"/>
  <c r="Y29" i="2" s="1"/>
  <c r="T29" i="2"/>
  <c r="X29" i="2" s="1"/>
  <c r="S29" i="2"/>
  <c r="W29" i="2" s="1"/>
  <c r="P29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A28" i="2"/>
  <c r="V28" i="2"/>
  <c r="Z28" i="2" s="1"/>
  <c r="U28" i="2"/>
  <c r="Y28" i="2" s="1"/>
  <c r="T28" i="2"/>
  <c r="X28" i="2" s="1"/>
  <c r="S28" i="2"/>
  <c r="W28" i="2" s="1"/>
  <c r="P28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A27" i="2"/>
  <c r="V27" i="2"/>
  <c r="Z27" i="2" s="1"/>
  <c r="U27" i="2"/>
  <c r="Y27" i="2" s="1"/>
  <c r="T27" i="2"/>
  <c r="X27" i="2" s="1"/>
  <c r="S27" i="2"/>
  <c r="W27" i="2" s="1"/>
  <c r="P27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A26" i="2"/>
  <c r="V26" i="2"/>
  <c r="Z26" i="2" s="1"/>
  <c r="U26" i="2"/>
  <c r="Y26" i="2" s="1"/>
  <c r="T26" i="2"/>
  <c r="X26" i="2" s="1"/>
  <c r="S26" i="2"/>
  <c r="W26" i="2" s="1"/>
  <c r="P26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A25" i="2"/>
  <c r="V25" i="2"/>
  <c r="Z25" i="2" s="1"/>
  <c r="U25" i="2"/>
  <c r="Y25" i="2" s="1"/>
  <c r="T25" i="2"/>
  <c r="X25" i="2" s="1"/>
  <c r="S25" i="2"/>
  <c r="W25" i="2" s="1"/>
  <c r="P25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A24" i="2"/>
  <c r="V24" i="2"/>
  <c r="Z24" i="2" s="1"/>
  <c r="U24" i="2"/>
  <c r="Y24" i="2" s="1"/>
  <c r="T24" i="2"/>
  <c r="X24" i="2" s="1"/>
  <c r="S24" i="2"/>
  <c r="W24" i="2" s="1"/>
  <c r="P24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A23" i="2"/>
  <c r="V23" i="2"/>
  <c r="Z23" i="2" s="1"/>
  <c r="U23" i="2"/>
  <c r="Y23" i="2" s="1"/>
  <c r="T23" i="2"/>
  <c r="X23" i="2" s="1"/>
  <c r="S23" i="2"/>
  <c r="W23" i="2" s="1"/>
  <c r="P23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A22" i="2"/>
  <c r="V22" i="2"/>
  <c r="Z22" i="2" s="1"/>
  <c r="U22" i="2"/>
  <c r="Y22" i="2" s="1"/>
  <c r="T22" i="2"/>
  <c r="X22" i="2" s="1"/>
  <c r="S22" i="2"/>
  <c r="W22" i="2" s="1"/>
  <c r="P22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A21" i="2"/>
  <c r="V21" i="2"/>
  <c r="Z21" i="2" s="1"/>
  <c r="U21" i="2"/>
  <c r="Y21" i="2" s="1"/>
  <c r="T21" i="2"/>
  <c r="X21" i="2" s="1"/>
  <c r="S21" i="2"/>
  <c r="W21" i="2" s="1"/>
  <c r="P21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A20" i="2"/>
  <c r="V20" i="2"/>
  <c r="Z20" i="2" s="1"/>
  <c r="U20" i="2"/>
  <c r="Y20" i="2" s="1"/>
  <c r="T20" i="2"/>
  <c r="X20" i="2" s="1"/>
  <c r="S20" i="2"/>
  <c r="W20" i="2" s="1"/>
  <c r="P20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A19" i="2"/>
  <c r="V19" i="2"/>
  <c r="Z19" i="2" s="1"/>
  <c r="U19" i="2"/>
  <c r="Y19" i="2" s="1"/>
  <c r="T19" i="2"/>
  <c r="X19" i="2" s="1"/>
  <c r="S19" i="2"/>
  <c r="W19" i="2" s="1"/>
  <c r="P19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A18" i="2"/>
  <c r="V18" i="2"/>
  <c r="Z18" i="2" s="1"/>
  <c r="U18" i="2"/>
  <c r="Y18" i="2" s="1"/>
  <c r="T18" i="2"/>
  <c r="X18" i="2" s="1"/>
  <c r="S18" i="2"/>
  <c r="W18" i="2" s="1"/>
  <c r="P18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A17" i="2"/>
  <c r="V17" i="2"/>
  <c r="Z17" i="2" s="1"/>
  <c r="U17" i="2"/>
  <c r="Y17" i="2" s="1"/>
  <c r="T17" i="2"/>
  <c r="X17" i="2" s="1"/>
  <c r="S17" i="2"/>
  <c r="W17" i="2" s="1"/>
  <c r="P17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A16" i="2"/>
  <c r="V16" i="2"/>
  <c r="Z16" i="2" s="1"/>
  <c r="U16" i="2"/>
  <c r="Y16" i="2" s="1"/>
  <c r="T16" i="2"/>
  <c r="X16" i="2" s="1"/>
  <c r="S16" i="2"/>
  <c r="W16" i="2" s="1"/>
  <c r="P16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A15" i="2"/>
  <c r="V15" i="2"/>
  <c r="Z15" i="2" s="1"/>
  <c r="U15" i="2"/>
  <c r="Y15" i="2" s="1"/>
  <c r="T15" i="2"/>
  <c r="X15" i="2" s="1"/>
  <c r="S15" i="2"/>
  <c r="W15" i="2" s="1"/>
  <c r="P15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A14" i="2"/>
  <c r="V14" i="2"/>
  <c r="Z14" i="2" s="1"/>
  <c r="U14" i="2"/>
  <c r="Y14" i="2" s="1"/>
  <c r="T14" i="2"/>
  <c r="X14" i="2" s="1"/>
  <c r="S14" i="2"/>
  <c r="W14" i="2" s="1"/>
  <c r="P14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A13" i="2"/>
  <c r="V13" i="2"/>
  <c r="Z13" i="2" s="1"/>
  <c r="U13" i="2"/>
  <c r="Y13" i="2" s="1"/>
  <c r="T13" i="2"/>
  <c r="X13" i="2" s="1"/>
  <c r="S13" i="2"/>
  <c r="W13" i="2" s="1"/>
  <c r="P13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A12" i="2"/>
  <c r="V12" i="2"/>
  <c r="Z12" i="2" s="1"/>
  <c r="U12" i="2"/>
  <c r="Y12" i="2" s="1"/>
  <c r="T12" i="2"/>
  <c r="X12" i="2" s="1"/>
  <c r="S12" i="2"/>
  <c r="W12" i="2" s="1"/>
  <c r="P12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A11" i="2"/>
  <c r="V11" i="2"/>
  <c r="Z11" i="2" s="1"/>
  <c r="U11" i="2"/>
  <c r="Y11" i="2" s="1"/>
  <c r="T11" i="2"/>
  <c r="X11" i="2" s="1"/>
  <c r="S11" i="2"/>
  <c r="W11" i="2" s="1"/>
  <c r="P11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A10" i="2"/>
  <c r="V10" i="2"/>
  <c r="Z10" i="2" s="1"/>
  <c r="U10" i="2"/>
  <c r="Y10" i="2" s="1"/>
  <c r="T10" i="2"/>
  <c r="X10" i="2" s="1"/>
  <c r="S10" i="2"/>
  <c r="W10" i="2" s="1"/>
  <c r="P10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A9" i="2"/>
  <c r="V9" i="2"/>
  <c r="Z9" i="2" s="1"/>
  <c r="U9" i="2"/>
  <c r="Y9" i="2" s="1"/>
  <c r="T9" i="2"/>
  <c r="X9" i="2" s="1"/>
  <c r="S9" i="2"/>
  <c r="W9" i="2" s="1"/>
  <c r="P9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A8" i="2"/>
  <c r="V8" i="2"/>
  <c r="Z8" i="2" s="1"/>
  <c r="U8" i="2"/>
  <c r="Y8" i="2" s="1"/>
  <c r="T8" i="2"/>
  <c r="X8" i="2" s="1"/>
  <c r="S8" i="2"/>
  <c r="W8" i="2" s="1"/>
  <c r="P8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A7" i="2"/>
  <c r="V7" i="2"/>
  <c r="Z7" i="2" s="1"/>
  <c r="U7" i="2"/>
  <c r="Y7" i="2" s="1"/>
  <c r="T7" i="2"/>
  <c r="X7" i="2" s="1"/>
  <c r="S7" i="2"/>
  <c r="W7" i="2" s="1"/>
  <c r="P7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A6" i="2"/>
  <c r="V6" i="2"/>
  <c r="Z6" i="2" s="1"/>
  <c r="U6" i="2"/>
  <c r="Y6" i="2" s="1"/>
  <c r="T6" i="2"/>
  <c r="X6" i="2" s="1"/>
  <c r="S6" i="2"/>
  <c r="W6" i="2" s="1"/>
  <c r="P6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A5" i="2"/>
  <c r="V5" i="2"/>
  <c r="Z5" i="2" s="1"/>
  <c r="U5" i="2"/>
  <c r="Y5" i="2" s="1"/>
  <c r="T5" i="2"/>
  <c r="X5" i="2" s="1"/>
  <c r="S5" i="2"/>
  <c r="W5" i="2" s="1"/>
  <c r="P5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A4" i="2"/>
  <c r="V4" i="2"/>
  <c r="Z4" i="2" s="1"/>
  <c r="U4" i="2"/>
  <c r="Y4" i="2" s="1"/>
  <c r="T4" i="2"/>
  <c r="X4" i="2" s="1"/>
  <c r="S4" i="2"/>
  <c r="W4" i="2" s="1"/>
  <c r="P4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A3" i="2"/>
  <c r="V3" i="2"/>
  <c r="Z3" i="2" s="1"/>
  <c r="U3" i="2"/>
  <c r="Y3" i="2" s="1"/>
  <c r="T3" i="2"/>
  <c r="X3" i="2" s="1"/>
  <c r="S3" i="2"/>
  <c r="W3" i="2" s="1"/>
  <c r="P3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A2" i="2"/>
  <c r="V2" i="2"/>
  <c r="Z2" i="2" s="1"/>
  <c r="U2" i="2"/>
  <c r="Y2" i="2" s="1"/>
  <c r="T2" i="2"/>
  <c r="X2" i="2" s="1"/>
  <c r="S2" i="2"/>
  <c r="W2" i="2" s="1"/>
  <c r="P2" i="2"/>
  <c r="AH1" i="2"/>
  <c r="AK1" i="2" s="1"/>
  <c r="AN1" i="2" s="1"/>
  <c r="AQ1" i="2" s="1"/>
  <c r="AT1" i="2" s="1"/>
  <c r="AW1" i="2" s="1"/>
  <c r="AZ1" i="2" s="1"/>
  <c r="BC1" i="2" s="1"/>
  <c r="BF1" i="2" s="1"/>
  <c r="AG1" i="2"/>
  <c r="AJ1" i="2" s="1"/>
  <c r="AM1" i="2" s="1"/>
  <c r="AP1" i="2" s="1"/>
  <c r="AS1" i="2" s="1"/>
  <c r="AV1" i="2" s="1"/>
  <c r="AY1" i="2" s="1"/>
  <c r="BB1" i="2" s="1"/>
  <c r="BE1" i="2" s="1"/>
  <c r="AF1" i="2"/>
  <c r="AI1" i="2" s="1"/>
  <c r="AL1" i="2" s="1"/>
  <c r="AO1" i="2" s="1"/>
  <c r="AR1" i="2" s="1"/>
  <c r="AU1" i="2" s="1"/>
  <c r="AX1" i="2" s="1"/>
  <c r="BA1" i="2" s="1"/>
  <c r="BD1" i="2" s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AE1" i="1"/>
  <c r="AI1" i="1" s="1"/>
  <c r="AM1" i="1" s="1"/>
  <c r="AQ1" i="1" s="1"/>
  <c r="AU1" i="1" s="1"/>
  <c r="AY1" i="1" s="1"/>
  <c r="BC1" i="1" s="1"/>
  <c r="BG1" i="1" s="1"/>
  <c r="BK1" i="1" s="1"/>
  <c r="AF1" i="1"/>
  <c r="AJ1" i="1" s="1"/>
  <c r="AN1" i="1" s="1"/>
  <c r="AR1" i="1" s="1"/>
  <c r="AV1" i="1" s="1"/>
  <c r="AZ1" i="1" s="1"/>
  <c r="BD1" i="1" s="1"/>
  <c r="BH1" i="1" s="1"/>
  <c r="BL1" i="1" s="1"/>
  <c r="AG1" i="1"/>
  <c r="AK1" i="1" s="1"/>
  <c r="AO1" i="1" s="1"/>
  <c r="AS1" i="1" s="1"/>
  <c r="AW1" i="1" s="1"/>
  <c r="BA1" i="1" s="1"/>
  <c r="BE1" i="1" s="1"/>
  <c r="BI1" i="1" s="1"/>
  <c r="BM1" i="1" s="1"/>
  <c r="AD1" i="1"/>
  <c r="AH1" i="1" s="1"/>
  <c r="AL1" i="1" s="1"/>
  <c r="AP1" i="1" s="1"/>
  <c r="AT1" i="1" s="1"/>
  <c r="AX1" i="1" s="1"/>
  <c r="BB1" i="1" s="1"/>
  <c r="BF1" i="1" s="1"/>
  <c r="BJ1" i="1" s="1"/>
  <c r="BK2" i="1"/>
  <c r="BL2" i="1"/>
  <c r="BM2" i="1"/>
  <c r="BJ2" i="1"/>
  <c r="BG2" i="1"/>
  <c r="BH2" i="1"/>
  <c r="BI2" i="1"/>
  <c r="BF2" i="1"/>
  <c r="BC2" i="1"/>
  <c r="BD2" i="1"/>
  <c r="BE2" i="1"/>
  <c r="BB2" i="1"/>
  <c r="AY2" i="1"/>
  <c r="AZ2" i="1"/>
  <c r="BA2" i="1"/>
  <c r="AX2" i="1"/>
  <c r="AV2" i="1"/>
  <c r="AW2" i="1"/>
  <c r="A62" i="1"/>
  <c r="A121" i="1" s="1"/>
  <c r="A180" i="1" s="1"/>
  <c r="A239" i="1" s="1"/>
  <c r="A298" i="1" s="1"/>
  <c r="A357" i="1" s="1"/>
  <c r="A416" i="1" s="1"/>
  <c r="A475" i="1" s="1"/>
  <c r="A534" i="1" s="1"/>
  <c r="B62" i="1"/>
  <c r="B121" i="1" s="1"/>
  <c r="B180" i="1" s="1"/>
  <c r="B239" i="1" s="1"/>
  <c r="B298" i="1" s="1"/>
  <c r="B357" i="1" s="1"/>
  <c r="B416" i="1" s="1"/>
  <c r="B475" i="1" s="1"/>
  <c r="B534" i="1" s="1"/>
  <c r="C62" i="1"/>
  <c r="C121" i="1" s="1"/>
  <c r="C180" i="1" s="1"/>
  <c r="C239" i="1" s="1"/>
  <c r="C298" i="1" s="1"/>
  <c r="C357" i="1" s="1"/>
  <c r="C416" i="1" s="1"/>
  <c r="C475" i="1" s="1"/>
  <c r="C534" i="1" s="1"/>
  <c r="D62" i="1"/>
  <c r="D121" i="1" s="1"/>
  <c r="D180" i="1" s="1"/>
  <c r="D239" i="1" s="1"/>
  <c r="D298" i="1" s="1"/>
  <c r="D357" i="1" s="1"/>
  <c r="D416" i="1" s="1"/>
  <c r="D475" i="1" s="1"/>
  <c r="D534" i="1" s="1"/>
  <c r="E62" i="1"/>
  <c r="E121" i="1" s="1"/>
  <c r="E180" i="1" s="1"/>
  <c r="E239" i="1" s="1"/>
  <c r="E298" i="1" s="1"/>
  <c r="E357" i="1" s="1"/>
  <c r="E416" i="1" s="1"/>
  <c r="E475" i="1" s="1"/>
  <c r="E534" i="1" s="1"/>
  <c r="F62" i="1"/>
  <c r="F121" i="1" s="1"/>
  <c r="F180" i="1" s="1"/>
  <c r="F239" i="1" s="1"/>
  <c r="F298" i="1" s="1"/>
  <c r="F357" i="1" s="1"/>
  <c r="F416" i="1" s="1"/>
  <c r="F475" i="1" s="1"/>
  <c r="F534" i="1" s="1"/>
  <c r="A63" i="1"/>
  <c r="A122" i="1" s="1"/>
  <c r="A181" i="1" s="1"/>
  <c r="A240" i="1" s="1"/>
  <c r="A299" i="1" s="1"/>
  <c r="A358" i="1" s="1"/>
  <c r="A417" i="1" s="1"/>
  <c r="A476" i="1" s="1"/>
  <c r="A535" i="1" s="1"/>
  <c r="B63" i="1"/>
  <c r="B122" i="1" s="1"/>
  <c r="B181" i="1" s="1"/>
  <c r="B240" i="1" s="1"/>
  <c r="B299" i="1" s="1"/>
  <c r="B358" i="1" s="1"/>
  <c r="B417" i="1" s="1"/>
  <c r="B476" i="1" s="1"/>
  <c r="B535" i="1" s="1"/>
  <c r="C63" i="1"/>
  <c r="C122" i="1" s="1"/>
  <c r="C181" i="1" s="1"/>
  <c r="C240" i="1" s="1"/>
  <c r="C299" i="1" s="1"/>
  <c r="C358" i="1" s="1"/>
  <c r="C417" i="1" s="1"/>
  <c r="C476" i="1" s="1"/>
  <c r="C535" i="1" s="1"/>
  <c r="D63" i="1"/>
  <c r="D122" i="1" s="1"/>
  <c r="D181" i="1" s="1"/>
  <c r="D240" i="1" s="1"/>
  <c r="D299" i="1" s="1"/>
  <c r="D358" i="1" s="1"/>
  <c r="D417" i="1" s="1"/>
  <c r="D476" i="1" s="1"/>
  <c r="D535" i="1" s="1"/>
  <c r="E63" i="1"/>
  <c r="E122" i="1" s="1"/>
  <c r="E181" i="1" s="1"/>
  <c r="E240" i="1" s="1"/>
  <c r="E299" i="1" s="1"/>
  <c r="E358" i="1" s="1"/>
  <c r="E417" i="1" s="1"/>
  <c r="E476" i="1" s="1"/>
  <c r="E535" i="1" s="1"/>
  <c r="F63" i="1"/>
  <c r="F122" i="1" s="1"/>
  <c r="F181" i="1" s="1"/>
  <c r="F240" i="1" s="1"/>
  <c r="F299" i="1" s="1"/>
  <c r="F358" i="1" s="1"/>
  <c r="F417" i="1" s="1"/>
  <c r="F476" i="1" s="1"/>
  <c r="F535" i="1" s="1"/>
  <c r="A64" i="1"/>
  <c r="A123" i="1" s="1"/>
  <c r="A182" i="1" s="1"/>
  <c r="A241" i="1" s="1"/>
  <c r="A300" i="1" s="1"/>
  <c r="A359" i="1" s="1"/>
  <c r="A418" i="1" s="1"/>
  <c r="A477" i="1" s="1"/>
  <c r="A536" i="1" s="1"/>
  <c r="B64" i="1"/>
  <c r="B123" i="1" s="1"/>
  <c r="B182" i="1" s="1"/>
  <c r="B241" i="1" s="1"/>
  <c r="B300" i="1" s="1"/>
  <c r="B359" i="1" s="1"/>
  <c r="B418" i="1" s="1"/>
  <c r="B477" i="1" s="1"/>
  <c r="B536" i="1" s="1"/>
  <c r="C64" i="1"/>
  <c r="C123" i="1" s="1"/>
  <c r="C182" i="1" s="1"/>
  <c r="C241" i="1" s="1"/>
  <c r="C300" i="1" s="1"/>
  <c r="C359" i="1" s="1"/>
  <c r="C418" i="1" s="1"/>
  <c r="C477" i="1" s="1"/>
  <c r="C536" i="1" s="1"/>
  <c r="D64" i="1"/>
  <c r="D123" i="1" s="1"/>
  <c r="D182" i="1" s="1"/>
  <c r="D241" i="1" s="1"/>
  <c r="D300" i="1" s="1"/>
  <c r="D359" i="1" s="1"/>
  <c r="D418" i="1" s="1"/>
  <c r="D477" i="1" s="1"/>
  <c r="D536" i="1" s="1"/>
  <c r="E64" i="1"/>
  <c r="E123" i="1" s="1"/>
  <c r="E182" i="1" s="1"/>
  <c r="E241" i="1" s="1"/>
  <c r="E300" i="1" s="1"/>
  <c r="E359" i="1" s="1"/>
  <c r="E418" i="1" s="1"/>
  <c r="E477" i="1" s="1"/>
  <c r="E536" i="1" s="1"/>
  <c r="F64" i="1"/>
  <c r="F123" i="1" s="1"/>
  <c r="F182" i="1" s="1"/>
  <c r="F241" i="1" s="1"/>
  <c r="F300" i="1" s="1"/>
  <c r="F359" i="1" s="1"/>
  <c r="F418" i="1" s="1"/>
  <c r="F477" i="1" s="1"/>
  <c r="F536" i="1" s="1"/>
  <c r="A65" i="1"/>
  <c r="A124" i="1" s="1"/>
  <c r="A183" i="1" s="1"/>
  <c r="A242" i="1" s="1"/>
  <c r="A301" i="1" s="1"/>
  <c r="A360" i="1" s="1"/>
  <c r="A419" i="1" s="1"/>
  <c r="A478" i="1" s="1"/>
  <c r="A537" i="1" s="1"/>
  <c r="B65" i="1"/>
  <c r="B124" i="1" s="1"/>
  <c r="B183" i="1" s="1"/>
  <c r="B242" i="1" s="1"/>
  <c r="B301" i="1" s="1"/>
  <c r="B360" i="1" s="1"/>
  <c r="B419" i="1" s="1"/>
  <c r="B478" i="1" s="1"/>
  <c r="B537" i="1" s="1"/>
  <c r="C65" i="1"/>
  <c r="C124" i="1" s="1"/>
  <c r="C183" i="1" s="1"/>
  <c r="C242" i="1" s="1"/>
  <c r="C301" i="1" s="1"/>
  <c r="C360" i="1" s="1"/>
  <c r="C419" i="1" s="1"/>
  <c r="C478" i="1" s="1"/>
  <c r="C537" i="1" s="1"/>
  <c r="D65" i="1"/>
  <c r="D124" i="1" s="1"/>
  <c r="D183" i="1" s="1"/>
  <c r="D242" i="1" s="1"/>
  <c r="D301" i="1" s="1"/>
  <c r="D360" i="1" s="1"/>
  <c r="D419" i="1" s="1"/>
  <c r="D478" i="1" s="1"/>
  <c r="D537" i="1" s="1"/>
  <c r="E65" i="1"/>
  <c r="E124" i="1" s="1"/>
  <c r="E183" i="1" s="1"/>
  <c r="E242" i="1" s="1"/>
  <c r="E301" i="1" s="1"/>
  <c r="E360" i="1" s="1"/>
  <c r="E419" i="1" s="1"/>
  <c r="E478" i="1" s="1"/>
  <c r="E537" i="1" s="1"/>
  <c r="F65" i="1"/>
  <c r="F124" i="1" s="1"/>
  <c r="F183" i="1" s="1"/>
  <c r="F242" i="1" s="1"/>
  <c r="F301" i="1" s="1"/>
  <c r="F360" i="1" s="1"/>
  <c r="F419" i="1" s="1"/>
  <c r="F478" i="1" s="1"/>
  <c r="F537" i="1" s="1"/>
  <c r="A66" i="1"/>
  <c r="A125" i="1" s="1"/>
  <c r="A184" i="1" s="1"/>
  <c r="A243" i="1" s="1"/>
  <c r="A302" i="1" s="1"/>
  <c r="A361" i="1" s="1"/>
  <c r="A420" i="1" s="1"/>
  <c r="A479" i="1" s="1"/>
  <c r="A538" i="1" s="1"/>
  <c r="B66" i="1"/>
  <c r="B125" i="1" s="1"/>
  <c r="B184" i="1" s="1"/>
  <c r="B243" i="1" s="1"/>
  <c r="B302" i="1" s="1"/>
  <c r="B361" i="1" s="1"/>
  <c r="B420" i="1" s="1"/>
  <c r="B479" i="1" s="1"/>
  <c r="B538" i="1" s="1"/>
  <c r="C66" i="1"/>
  <c r="C125" i="1" s="1"/>
  <c r="C184" i="1" s="1"/>
  <c r="C243" i="1" s="1"/>
  <c r="C302" i="1" s="1"/>
  <c r="C361" i="1" s="1"/>
  <c r="C420" i="1" s="1"/>
  <c r="C479" i="1" s="1"/>
  <c r="C538" i="1" s="1"/>
  <c r="D66" i="1"/>
  <c r="D125" i="1" s="1"/>
  <c r="D184" i="1" s="1"/>
  <c r="D243" i="1" s="1"/>
  <c r="D302" i="1" s="1"/>
  <c r="D361" i="1" s="1"/>
  <c r="D420" i="1" s="1"/>
  <c r="D479" i="1" s="1"/>
  <c r="D538" i="1" s="1"/>
  <c r="E66" i="1"/>
  <c r="E125" i="1" s="1"/>
  <c r="E184" i="1" s="1"/>
  <c r="E243" i="1" s="1"/>
  <c r="E302" i="1" s="1"/>
  <c r="E361" i="1" s="1"/>
  <c r="E420" i="1" s="1"/>
  <c r="E479" i="1" s="1"/>
  <c r="E538" i="1" s="1"/>
  <c r="F66" i="1"/>
  <c r="F125" i="1" s="1"/>
  <c r="F184" i="1" s="1"/>
  <c r="F243" i="1" s="1"/>
  <c r="F302" i="1" s="1"/>
  <c r="F361" i="1" s="1"/>
  <c r="F420" i="1" s="1"/>
  <c r="F479" i="1" s="1"/>
  <c r="F538" i="1" s="1"/>
  <c r="A67" i="1"/>
  <c r="A126" i="1" s="1"/>
  <c r="A185" i="1" s="1"/>
  <c r="A244" i="1" s="1"/>
  <c r="A303" i="1" s="1"/>
  <c r="A362" i="1" s="1"/>
  <c r="A421" i="1" s="1"/>
  <c r="A480" i="1" s="1"/>
  <c r="A539" i="1" s="1"/>
  <c r="B67" i="1"/>
  <c r="B126" i="1" s="1"/>
  <c r="B185" i="1" s="1"/>
  <c r="B244" i="1" s="1"/>
  <c r="B303" i="1" s="1"/>
  <c r="B362" i="1" s="1"/>
  <c r="B421" i="1" s="1"/>
  <c r="B480" i="1" s="1"/>
  <c r="B539" i="1" s="1"/>
  <c r="C67" i="1"/>
  <c r="C126" i="1" s="1"/>
  <c r="C185" i="1" s="1"/>
  <c r="C244" i="1" s="1"/>
  <c r="C303" i="1" s="1"/>
  <c r="C362" i="1" s="1"/>
  <c r="C421" i="1" s="1"/>
  <c r="C480" i="1" s="1"/>
  <c r="C539" i="1" s="1"/>
  <c r="D67" i="1"/>
  <c r="D126" i="1" s="1"/>
  <c r="D185" i="1" s="1"/>
  <c r="D244" i="1" s="1"/>
  <c r="D303" i="1" s="1"/>
  <c r="D362" i="1" s="1"/>
  <c r="D421" i="1" s="1"/>
  <c r="D480" i="1" s="1"/>
  <c r="D539" i="1" s="1"/>
  <c r="E67" i="1"/>
  <c r="E126" i="1" s="1"/>
  <c r="E185" i="1" s="1"/>
  <c r="E244" i="1" s="1"/>
  <c r="E303" i="1" s="1"/>
  <c r="E362" i="1" s="1"/>
  <c r="E421" i="1" s="1"/>
  <c r="E480" i="1" s="1"/>
  <c r="E539" i="1" s="1"/>
  <c r="F67" i="1"/>
  <c r="F126" i="1" s="1"/>
  <c r="F185" i="1" s="1"/>
  <c r="F244" i="1" s="1"/>
  <c r="F303" i="1" s="1"/>
  <c r="F362" i="1" s="1"/>
  <c r="F421" i="1" s="1"/>
  <c r="F480" i="1" s="1"/>
  <c r="F539" i="1" s="1"/>
  <c r="A68" i="1"/>
  <c r="A127" i="1" s="1"/>
  <c r="A186" i="1" s="1"/>
  <c r="A245" i="1" s="1"/>
  <c r="A304" i="1" s="1"/>
  <c r="A363" i="1" s="1"/>
  <c r="A422" i="1" s="1"/>
  <c r="A481" i="1" s="1"/>
  <c r="A540" i="1" s="1"/>
  <c r="B68" i="1"/>
  <c r="B127" i="1" s="1"/>
  <c r="B186" i="1" s="1"/>
  <c r="B245" i="1" s="1"/>
  <c r="B304" i="1" s="1"/>
  <c r="B363" i="1" s="1"/>
  <c r="B422" i="1" s="1"/>
  <c r="B481" i="1" s="1"/>
  <c r="B540" i="1" s="1"/>
  <c r="C68" i="1"/>
  <c r="C127" i="1" s="1"/>
  <c r="C186" i="1" s="1"/>
  <c r="C245" i="1" s="1"/>
  <c r="C304" i="1" s="1"/>
  <c r="C363" i="1" s="1"/>
  <c r="C422" i="1" s="1"/>
  <c r="C481" i="1" s="1"/>
  <c r="C540" i="1" s="1"/>
  <c r="D68" i="1"/>
  <c r="D127" i="1" s="1"/>
  <c r="D186" i="1" s="1"/>
  <c r="D245" i="1" s="1"/>
  <c r="D304" i="1" s="1"/>
  <c r="D363" i="1" s="1"/>
  <c r="D422" i="1" s="1"/>
  <c r="D481" i="1" s="1"/>
  <c r="D540" i="1" s="1"/>
  <c r="E68" i="1"/>
  <c r="E127" i="1" s="1"/>
  <c r="E186" i="1" s="1"/>
  <c r="E245" i="1" s="1"/>
  <c r="E304" i="1" s="1"/>
  <c r="E363" i="1" s="1"/>
  <c r="E422" i="1" s="1"/>
  <c r="E481" i="1" s="1"/>
  <c r="E540" i="1" s="1"/>
  <c r="F68" i="1"/>
  <c r="F127" i="1" s="1"/>
  <c r="F186" i="1" s="1"/>
  <c r="F245" i="1" s="1"/>
  <c r="F304" i="1" s="1"/>
  <c r="F363" i="1" s="1"/>
  <c r="F422" i="1" s="1"/>
  <c r="F481" i="1" s="1"/>
  <c r="F540" i="1" s="1"/>
  <c r="A69" i="1"/>
  <c r="A128" i="1" s="1"/>
  <c r="A187" i="1" s="1"/>
  <c r="A246" i="1" s="1"/>
  <c r="A305" i="1" s="1"/>
  <c r="A364" i="1" s="1"/>
  <c r="A423" i="1" s="1"/>
  <c r="A482" i="1" s="1"/>
  <c r="A541" i="1" s="1"/>
  <c r="B69" i="1"/>
  <c r="B128" i="1" s="1"/>
  <c r="B187" i="1" s="1"/>
  <c r="B246" i="1" s="1"/>
  <c r="B305" i="1" s="1"/>
  <c r="B364" i="1" s="1"/>
  <c r="B423" i="1" s="1"/>
  <c r="B482" i="1" s="1"/>
  <c r="B541" i="1" s="1"/>
  <c r="C69" i="1"/>
  <c r="C128" i="1" s="1"/>
  <c r="C187" i="1" s="1"/>
  <c r="C246" i="1" s="1"/>
  <c r="C305" i="1" s="1"/>
  <c r="C364" i="1" s="1"/>
  <c r="C423" i="1" s="1"/>
  <c r="C482" i="1" s="1"/>
  <c r="C541" i="1" s="1"/>
  <c r="D69" i="1"/>
  <c r="D128" i="1" s="1"/>
  <c r="D187" i="1" s="1"/>
  <c r="D246" i="1" s="1"/>
  <c r="D305" i="1" s="1"/>
  <c r="D364" i="1" s="1"/>
  <c r="D423" i="1" s="1"/>
  <c r="D482" i="1" s="1"/>
  <c r="D541" i="1" s="1"/>
  <c r="E69" i="1"/>
  <c r="E128" i="1" s="1"/>
  <c r="E187" i="1" s="1"/>
  <c r="E246" i="1" s="1"/>
  <c r="E305" i="1" s="1"/>
  <c r="E364" i="1" s="1"/>
  <c r="E423" i="1" s="1"/>
  <c r="E482" i="1" s="1"/>
  <c r="E541" i="1" s="1"/>
  <c r="F69" i="1"/>
  <c r="F128" i="1" s="1"/>
  <c r="F187" i="1" s="1"/>
  <c r="F246" i="1" s="1"/>
  <c r="F305" i="1" s="1"/>
  <c r="F364" i="1" s="1"/>
  <c r="F423" i="1" s="1"/>
  <c r="F482" i="1" s="1"/>
  <c r="F541" i="1" s="1"/>
  <c r="A70" i="1"/>
  <c r="A129" i="1" s="1"/>
  <c r="A188" i="1" s="1"/>
  <c r="A247" i="1" s="1"/>
  <c r="A306" i="1" s="1"/>
  <c r="A365" i="1" s="1"/>
  <c r="A424" i="1" s="1"/>
  <c r="A483" i="1" s="1"/>
  <c r="A542" i="1" s="1"/>
  <c r="B70" i="1"/>
  <c r="B129" i="1" s="1"/>
  <c r="B188" i="1" s="1"/>
  <c r="B247" i="1" s="1"/>
  <c r="B306" i="1" s="1"/>
  <c r="B365" i="1" s="1"/>
  <c r="B424" i="1" s="1"/>
  <c r="B483" i="1" s="1"/>
  <c r="B542" i="1" s="1"/>
  <c r="C70" i="1"/>
  <c r="C129" i="1" s="1"/>
  <c r="C188" i="1" s="1"/>
  <c r="C247" i="1" s="1"/>
  <c r="C306" i="1" s="1"/>
  <c r="C365" i="1" s="1"/>
  <c r="C424" i="1" s="1"/>
  <c r="C483" i="1" s="1"/>
  <c r="C542" i="1" s="1"/>
  <c r="D70" i="1"/>
  <c r="D129" i="1" s="1"/>
  <c r="D188" i="1" s="1"/>
  <c r="D247" i="1" s="1"/>
  <c r="D306" i="1" s="1"/>
  <c r="D365" i="1" s="1"/>
  <c r="D424" i="1" s="1"/>
  <c r="D483" i="1" s="1"/>
  <c r="D542" i="1" s="1"/>
  <c r="E70" i="1"/>
  <c r="E129" i="1" s="1"/>
  <c r="E188" i="1" s="1"/>
  <c r="E247" i="1" s="1"/>
  <c r="E306" i="1" s="1"/>
  <c r="E365" i="1" s="1"/>
  <c r="E424" i="1" s="1"/>
  <c r="E483" i="1" s="1"/>
  <c r="E542" i="1" s="1"/>
  <c r="F70" i="1"/>
  <c r="F129" i="1" s="1"/>
  <c r="F188" i="1" s="1"/>
  <c r="F247" i="1" s="1"/>
  <c r="F306" i="1" s="1"/>
  <c r="F365" i="1" s="1"/>
  <c r="F424" i="1" s="1"/>
  <c r="F483" i="1" s="1"/>
  <c r="F542" i="1" s="1"/>
  <c r="A71" i="1"/>
  <c r="A130" i="1" s="1"/>
  <c r="A189" i="1" s="1"/>
  <c r="A248" i="1" s="1"/>
  <c r="A307" i="1" s="1"/>
  <c r="A366" i="1" s="1"/>
  <c r="A425" i="1" s="1"/>
  <c r="A484" i="1" s="1"/>
  <c r="A543" i="1" s="1"/>
  <c r="B71" i="1"/>
  <c r="B130" i="1" s="1"/>
  <c r="B189" i="1" s="1"/>
  <c r="B248" i="1" s="1"/>
  <c r="B307" i="1" s="1"/>
  <c r="B366" i="1" s="1"/>
  <c r="B425" i="1" s="1"/>
  <c r="B484" i="1" s="1"/>
  <c r="B543" i="1" s="1"/>
  <c r="C71" i="1"/>
  <c r="C130" i="1" s="1"/>
  <c r="C189" i="1" s="1"/>
  <c r="C248" i="1" s="1"/>
  <c r="C307" i="1" s="1"/>
  <c r="C366" i="1" s="1"/>
  <c r="C425" i="1" s="1"/>
  <c r="C484" i="1" s="1"/>
  <c r="C543" i="1" s="1"/>
  <c r="D71" i="1"/>
  <c r="D130" i="1" s="1"/>
  <c r="D189" i="1" s="1"/>
  <c r="D248" i="1" s="1"/>
  <c r="D307" i="1" s="1"/>
  <c r="D366" i="1" s="1"/>
  <c r="D425" i="1" s="1"/>
  <c r="D484" i="1" s="1"/>
  <c r="D543" i="1" s="1"/>
  <c r="E71" i="1"/>
  <c r="E130" i="1" s="1"/>
  <c r="E189" i="1" s="1"/>
  <c r="E248" i="1" s="1"/>
  <c r="E307" i="1" s="1"/>
  <c r="E366" i="1" s="1"/>
  <c r="E425" i="1" s="1"/>
  <c r="E484" i="1" s="1"/>
  <c r="E543" i="1" s="1"/>
  <c r="F71" i="1"/>
  <c r="F130" i="1" s="1"/>
  <c r="F189" i="1" s="1"/>
  <c r="F248" i="1" s="1"/>
  <c r="F307" i="1" s="1"/>
  <c r="F366" i="1" s="1"/>
  <c r="F425" i="1" s="1"/>
  <c r="F484" i="1" s="1"/>
  <c r="F543" i="1" s="1"/>
  <c r="A72" i="1"/>
  <c r="A131" i="1" s="1"/>
  <c r="A190" i="1" s="1"/>
  <c r="A249" i="1" s="1"/>
  <c r="A308" i="1" s="1"/>
  <c r="A367" i="1" s="1"/>
  <c r="A426" i="1" s="1"/>
  <c r="A485" i="1" s="1"/>
  <c r="A544" i="1" s="1"/>
  <c r="B72" i="1"/>
  <c r="B131" i="1" s="1"/>
  <c r="B190" i="1" s="1"/>
  <c r="B249" i="1" s="1"/>
  <c r="B308" i="1" s="1"/>
  <c r="B367" i="1" s="1"/>
  <c r="B426" i="1" s="1"/>
  <c r="B485" i="1" s="1"/>
  <c r="B544" i="1" s="1"/>
  <c r="C72" i="1"/>
  <c r="C131" i="1" s="1"/>
  <c r="C190" i="1" s="1"/>
  <c r="C249" i="1" s="1"/>
  <c r="C308" i="1" s="1"/>
  <c r="C367" i="1" s="1"/>
  <c r="C426" i="1" s="1"/>
  <c r="C485" i="1" s="1"/>
  <c r="C544" i="1" s="1"/>
  <c r="D72" i="1"/>
  <c r="D131" i="1" s="1"/>
  <c r="D190" i="1" s="1"/>
  <c r="D249" i="1" s="1"/>
  <c r="D308" i="1" s="1"/>
  <c r="D367" i="1" s="1"/>
  <c r="D426" i="1" s="1"/>
  <c r="D485" i="1" s="1"/>
  <c r="D544" i="1" s="1"/>
  <c r="E72" i="1"/>
  <c r="E131" i="1" s="1"/>
  <c r="E190" i="1" s="1"/>
  <c r="E249" i="1" s="1"/>
  <c r="E308" i="1" s="1"/>
  <c r="E367" i="1" s="1"/>
  <c r="E426" i="1" s="1"/>
  <c r="E485" i="1" s="1"/>
  <c r="E544" i="1" s="1"/>
  <c r="F72" i="1"/>
  <c r="F131" i="1" s="1"/>
  <c r="F190" i="1" s="1"/>
  <c r="F249" i="1" s="1"/>
  <c r="F308" i="1" s="1"/>
  <c r="F367" i="1" s="1"/>
  <c r="F426" i="1" s="1"/>
  <c r="F485" i="1" s="1"/>
  <c r="F544" i="1" s="1"/>
  <c r="A73" i="1"/>
  <c r="A132" i="1" s="1"/>
  <c r="A191" i="1" s="1"/>
  <c r="A250" i="1" s="1"/>
  <c r="A309" i="1" s="1"/>
  <c r="A368" i="1" s="1"/>
  <c r="A427" i="1" s="1"/>
  <c r="A486" i="1" s="1"/>
  <c r="A545" i="1" s="1"/>
  <c r="B73" i="1"/>
  <c r="B132" i="1" s="1"/>
  <c r="B191" i="1" s="1"/>
  <c r="B250" i="1" s="1"/>
  <c r="B309" i="1" s="1"/>
  <c r="B368" i="1" s="1"/>
  <c r="B427" i="1" s="1"/>
  <c r="B486" i="1" s="1"/>
  <c r="B545" i="1" s="1"/>
  <c r="C73" i="1"/>
  <c r="C132" i="1" s="1"/>
  <c r="C191" i="1" s="1"/>
  <c r="C250" i="1" s="1"/>
  <c r="C309" i="1" s="1"/>
  <c r="C368" i="1" s="1"/>
  <c r="C427" i="1" s="1"/>
  <c r="C486" i="1" s="1"/>
  <c r="C545" i="1" s="1"/>
  <c r="D73" i="1"/>
  <c r="D132" i="1" s="1"/>
  <c r="D191" i="1" s="1"/>
  <c r="D250" i="1" s="1"/>
  <c r="D309" i="1" s="1"/>
  <c r="D368" i="1" s="1"/>
  <c r="D427" i="1" s="1"/>
  <c r="D486" i="1" s="1"/>
  <c r="D545" i="1" s="1"/>
  <c r="E73" i="1"/>
  <c r="E132" i="1" s="1"/>
  <c r="E191" i="1" s="1"/>
  <c r="E250" i="1" s="1"/>
  <c r="E309" i="1" s="1"/>
  <c r="E368" i="1" s="1"/>
  <c r="E427" i="1" s="1"/>
  <c r="E486" i="1" s="1"/>
  <c r="E545" i="1" s="1"/>
  <c r="F73" i="1"/>
  <c r="F132" i="1" s="1"/>
  <c r="F191" i="1" s="1"/>
  <c r="F250" i="1" s="1"/>
  <c r="F309" i="1" s="1"/>
  <c r="F368" i="1" s="1"/>
  <c r="F427" i="1" s="1"/>
  <c r="F486" i="1" s="1"/>
  <c r="F545" i="1" s="1"/>
  <c r="A74" i="1"/>
  <c r="A133" i="1" s="1"/>
  <c r="A192" i="1" s="1"/>
  <c r="A251" i="1" s="1"/>
  <c r="A310" i="1" s="1"/>
  <c r="A369" i="1" s="1"/>
  <c r="A428" i="1" s="1"/>
  <c r="A487" i="1" s="1"/>
  <c r="A546" i="1" s="1"/>
  <c r="B74" i="1"/>
  <c r="B133" i="1" s="1"/>
  <c r="B192" i="1" s="1"/>
  <c r="B251" i="1" s="1"/>
  <c r="B310" i="1" s="1"/>
  <c r="B369" i="1" s="1"/>
  <c r="B428" i="1" s="1"/>
  <c r="B487" i="1" s="1"/>
  <c r="B546" i="1" s="1"/>
  <c r="C74" i="1"/>
  <c r="C133" i="1" s="1"/>
  <c r="C192" i="1" s="1"/>
  <c r="C251" i="1" s="1"/>
  <c r="C310" i="1" s="1"/>
  <c r="C369" i="1" s="1"/>
  <c r="C428" i="1" s="1"/>
  <c r="C487" i="1" s="1"/>
  <c r="C546" i="1" s="1"/>
  <c r="D74" i="1"/>
  <c r="D133" i="1" s="1"/>
  <c r="D192" i="1" s="1"/>
  <c r="D251" i="1" s="1"/>
  <c r="D310" i="1" s="1"/>
  <c r="D369" i="1" s="1"/>
  <c r="D428" i="1" s="1"/>
  <c r="D487" i="1" s="1"/>
  <c r="D546" i="1" s="1"/>
  <c r="E74" i="1"/>
  <c r="E133" i="1" s="1"/>
  <c r="E192" i="1" s="1"/>
  <c r="E251" i="1" s="1"/>
  <c r="E310" i="1" s="1"/>
  <c r="E369" i="1" s="1"/>
  <c r="E428" i="1" s="1"/>
  <c r="E487" i="1" s="1"/>
  <c r="E546" i="1" s="1"/>
  <c r="F74" i="1"/>
  <c r="F133" i="1" s="1"/>
  <c r="F192" i="1" s="1"/>
  <c r="F251" i="1" s="1"/>
  <c r="F310" i="1" s="1"/>
  <c r="F369" i="1" s="1"/>
  <c r="F428" i="1" s="1"/>
  <c r="F487" i="1" s="1"/>
  <c r="F546" i="1" s="1"/>
  <c r="A75" i="1"/>
  <c r="A134" i="1" s="1"/>
  <c r="A193" i="1" s="1"/>
  <c r="A252" i="1" s="1"/>
  <c r="A311" i="1" s="1"/>
  <c r="A370" i="1" s="1"/>
  <c r="A429" i="1" s="1"/>
  <c r="A488" i="1" s="1"/>
  <c r="A547" i="1" s="1"/>
  <c r="B75" i="1"/>
  <c r="B134" i="1" s="1"/>
  <c r="B193" i="1" s="1"/>
  <c r="B252" i="1" s="1"/>
  <c r="B311" i="1" s="1"/>
  <c r="B370" i="1" s="1"/>
  <c r="B429" i="1" s="1"/>
  <c r="B488" i="1" s="1"/>
  <c r="B547" i="1" s="1"/>
  <c r="C75" i="1"/>
  <c r="C134" i="1" s="1"/>
  <c r="C193" i="1" s="1"/>
  <c r="C252" i="1" s="1"/>
  <c r="C311" i="1" s="1"/>
  <c r="C370" i="1" s="1"/>
  <c r="C429" i="1" s="1"/>
  <c r="C488" i="1" s="1"/>
  <c r="C547" i="1" s="1"/>
  <c r="D75" i="1"/>
  <c r="D134" i="1" s="1"/>
  <c r="D193" i="1" s="1"/>
  <c r="D252" i="1" s="1"/>
  <c r="D311" i="1" s="1"/>
  <c r="D370" i="1" s="1"/>
  <c r="D429" i="1" s="1"/>
  <c r="D488" i="1" s="1"/>
  <c r="D547" i="1" s="1"/>
  <c r="E75" i="1"/>
  <c r="E134" i="1" s="1"/>
  <c r="E193" i="1" s="1"/>
  <c r="E252" i="1" s="1"/>
  <c r="E311" i="1" s="1"/>
  <c r="E370" i="1" s="1"/>
  <c r="E429" i="1" s="1"/>
  <c r="E488" i="1" s="1"/>
  <c r="E547" i="1" s="1"/>
  <c r="F75" i="1"/>
  <c r="F134" i="1" s="1"/>
  <c r="F193" i="1" s="1"/>
  <c r="F252" i="1" s="1"/>
  <c r="F311" i="1" s="1"/>
  <c r="F370" i="1" s="1"/>
  <c r="F429" i="1" s="1"/>
  <c r="F488" i="1" s="1"/>
  <c r="F547" i="1" s="1"/>
  <c r="A76" i="1"/>
  <c r="A135" i="1" s="1"/>
  <c r="A194" i="1" s="1"/>
  <c r="A253" i="1" s="1"/>
  <c r="A312" i="1" s="1"/>
  <c r="A371" i="1" s="1"/>
  <c r="A430" i="1" s="1"/>
  <c r="A489" i="1" s="1"/>
  <c r="A548" i="1" s="1"/>
  <c r="B76" i="1"/>
  <c r="B135" i="1" s="1"/>
  <c r="B194" i="1" s="1"/>
  <c r="B253" i="1" s="1"/>
  <c r="B312" i="1" s="1"/>
  <c r="B371" i="1" s="1"/>
  <c r="B430" i="1" s="1"/>
  <c r="B489" i="1" s="1"/>
  <c r="B548" i="1" s="1"/>
  <c r="C76" i="1"/>
  <c r="C135" i="1" s="1"/>
  <c r="C194" i="1" s="1"/>
  <c r="C253" i="1" s="1"/>
  <c r="C312" i="1" s="1"/>
  <c r="C371" i="1" s="1"/>
  <c r="C430" i="1" s="1"/>
  <c r="C489" i="1" s="1"/>
  <c r="C548" i="1" s="1"/>
  <c r="D76" i="1"/>
  <c r="D135" i="1" s="1"/>
  <c r="D194" i="1" s="1"/>
  <c r="D253" i="1" s="1"/>
  <c r="D312" i="1" s="1"/>
  <c r="D371" i="1" s="1"/>
  <c r="D430" i="1" s="1"/>
  <c r="D489" i="1" s="1"/>
  <c r="D548" i="1" s="1"/>
  <c r="E76" i="1"/>
  <c r="E135" i="1" s="1"/>
  <c r="E194" i="1" s="1"/>
  <c r="E253" i="1" s="1"/>
  <c r="E312" i="1" s="1"/>
  <c r="E371" i="1" s="1"/>
  <c r="E430" i="1" s="1"/>
  <c r="E489" i="1" s="1"/>
  <c r="E548" i="1" s="1"/>
  <c r="F76" i="1"/>
  <c r="F135" i="1" s="1"/>
  <c r="F194" i="1" s="1"/>
  <c r="F253" i="1" s="1"/>
  <c r="F312" i="1" s="1"/>
  <c r="F371" i="1" s="1"/>
  <c r="F430" i="1" s="1"/>
  <c r="F489" i="1" s="1"/>
  <c r="F548" i="1" s="1"/>
  <c r="A77" i="1"/>
  <c r="A136" i="1" s="1"/>
  <c r="A195" i="1" s="1"/>
  <c r="A254" i="1" s="1"/>
  <c r="A313" i="1" s="1"/>
  <c r="A372" i="1" s="1"/>
  <c r="A431" i="1" s="1"/>
  <c r="A490" i="1" s="1"/>
  <c r="A549" i="1" s="1"/>
  <c r="B77" i="1"/>
  <c r="B136" i="1" s="1"/>
  <c r="B195" i="1" s="1"/>
  <c r="B254" i="1" s="1"/>
  <c r="B313" i="1" s="1"/>
  <c r="B372" i="1" s="1"/>
  <c r="B431" i="1" s="1"/>
  <c r="B490" i="1" s="1"/>
  <c r="B549" i="1" s="1"/>
  <c r="C77" i="1"/>
  <c r="C136" i="1" s="1"/>
  <c r="C195" i="1" s="1"/>
  <c r="C254" i="1" s="1"/>
  <c r="C313" i="1" s="1"/>
  <c r="C372" i="1" s="1"/>
  <c r="C431" i="1" s="1"/>
  <c r="C490" i="1" s="1"/>
  <c r="C549" i="1" s="1"/>
  <c r="D77" i="1"/>
  <c r="D136" i="1" s="1"/>
  <c r="D195" i="1" s="1"/>
  <c r="D254" i="1" s="1"/>
  <c r="D313" i="1" s="1"/>
  <c r="D372" i="1" s="1"/>
  <c r="D431" i="1" s="1"/>
  <c r="D490" i="1" s="1"/>
  <c r="D549" i="1" s="1"/>
  <c r="E77" i="1"/>
  <c r="E136" i="1" s="1"/>
  <c r="E195" i="1" s="1"/>
  <c r="E254" i="1" s="1"/>
  <c r="E313" i="1" s="1"/>
  <c r="E372" i="1" s="1"/>
  <c r="E431" i="1" s="1"/>
  <c r="E490" i="1" s="1"/>
  <c r="E549" i="1" s="1"/>
  <c r="F77" i="1"/>
  <c r="F136" i="1" s="1"/>
  <c r="F195" i="1" s="1"/>
  <c r="F254" i="1" s="1"/>
  <c r="F313" i="1" s="1"/>
  <c r="F372" i="1" s="1"/>
  <c r="F431" i="1" s="1"/>
  <c r="F490" i="1" s="1"/>
  <c r="F549" i="1" s="1"/>
  <c r="A78" i="1"/>
  <c r="A137" i="1" s="1"/>
  <c r="A196" i="1" s="1"/>
  <c r="A255" i="1" s="1"/>
  <c r="A314" i="1" s="1"/>
  <c r="A373" i="1" s="1"/>
  <c r="A432" i="1" s="1"/>
  <c r="A491" i="1" s="1"/>
  <c r="A550" i="1" s="1"/>
  <c r="B78" i="1"/>
  <c r="B137" i="1" s="1"/>
  <c r="B196" i="1" s="1"/>
  <c r="B255" i="1" s="1"/>
  <c r="B314" i="1" s="1"/>
  <c r="B373" i="1" s="1"/>
  <c r="B432" i="1" s="1"/>
  <c r="B491" i="1" s="1"/>
  <c r="B550" i="1" s="1"/>
  <c r="C78" i="1"/>
  <c r="C137" i="1" s="1"/>
  <c r="C196" i="1" s="1"/>
  <c r="C255" i="1" s="1"/>
  <c r="C314" i="1" s="1"/>
  <c r="C373" i="1" s="1"/>
  <c r="C432" i="1" s="1"/>
  <c r="C491" i="1" s="1"/>
  <c r="C550" i="1" s="1"/>
  <c r="D78" i="1"/>
  <c r="D137" i="1" s="1"/>
  <c r="D196" i="1" s="1"/>
  <c r="D255" i="1" s="1"/>
  <c r="D314" i="1" s="1"/>
  <c r="D373" i="1" s="1"/>
  <c r="D432" i="1" s="1"/>
  <c r="D491" i="1" s="1"/>
  <c r="D550" i="1" s="1"/>
  <c r="E78" i="1"/>
  <c r="E137" i="1" s="1"/>
  <c r="E196" i="1" s="1"/>
  <c r="E255" i="1" s="1"/>
  <c r="E314" i="1" s="1"/>
  <c r="E373" i="1" s="1"/>
  <c r="E432" i="1" s="1"/>
  <c r="E491" i="1" s="1"/>
  <c r="E550" i="1" s="1"/>
  <c r="F78" i="1"/>
  <c r="F137" i="1" s="1"/>
  <c r="F196" i="1" s="1"/>
  <c r="F255" i="1" s="1"/>
  <c r="F314" i="1" s="1"/>
  <c r="F373" i="1" s="1"/>
  <c r="F432" i="1" s="1"/>
  <c r="F491" i="1" s="1"/>
  <c r="F550" i="1" s="1"/>
  <c r="A79" i="1"/>
  <c r="A138" i="1" s="1"/>
  <c r="A197" i="1" s="1"/>
  <c r="A256" i="1" s="1"/>
  <c r="A315" i="1" s="1"/>
  <c r="A374" i="1" s="1"/>
  <c r="A433" i="1" s="1"/>
  <c r="A492" i="1" s="1"/>
  <c r="A551" i="1" s="1"/>
  <c r="B79" i="1"/>
  <c r="B138" i="1" s="1"/>
  <c r="B197" i="1" s="1"/>
  <c r="B256" i="1" s="1"/>
  <c r="B315" i="1" s="1"/>
  <c r="B374" i="1" s="1"/>
  <c r="B433" i="1" s="1"/>
  <c r="B492" i="1" s="1"/>
  <c r="B551" i="1" s="1"/>
  <c r="C79" i="1"/>
  <c r="C138" i="1" s="1"/>
  <c r="C197" i="1" s="1"/>
  <c r="C256" i="1" s="1"/>
  <c r="C315" i="1" s="1"/>
  <c r="C374" i="1" s="1"/>
  <c r="C433" i="1" s="1"/>
  <c r="C492" i="1" s="1"/>
  <c r="C551" i="1" s="1"/>
  <c r="D79" i="1"/>
  <c r="D138" i="1" s="1"/>
  <c r="D197" i="1" s="1"/>
  <c r="D256" i="1" s="1"/>
  <c r="D315" i="1" s="1"/>
  <c r="D374" i="1" s="1"/>
  <c r="D433" i="1" s="1"/>
  <c r="D492" i="1" s="1"/>
  <c r="D551" i="1" s="1"/>
  <c r="E79" i="1"/>
  <c r="E138" i="1" s="1"/>
  <c r="E197" i="1" s="1"/>
  <c r="E256" i="1" s="1"/>
  <c r="E315" i="1" s="1"/>
  <c r="E374" i="1" s="1"/>
  <c r="E433" i="1" s="1"/>
  <c r="E492" i="1" s="1"/>
  <c r="E551" i="1" s="1"/>
  <c r="F79" i="1"/>
  <c r="F138" i="1" s="1"/>
  <c r="F197" i="1" s="1"/>
  <c r="F256" i="1" s="1"/>
  <c r="F315" i="1" s="1"/>
  <c r="F374" i="1" s="1"/>
  <c r="F433" i="1" s="1"/>
  <c r="F492" i="1" s="1"/>
  <c r="F551" i="1" s="1"/>
  <c r="A80" i="1"/>
  <c r="A139" i="1" s="1"/>
  <c r="A198" i="1" s="1"/>
  <c r="A257" i="1" s="1"/>
  <c r="A316" i="1" s="1"/>
  <c r="A375" i="1" s="1"/>
  <c r="A434" i="1" s="1"/>
  <c r="A493" i="1" s="1"/>
  <c r="A552" i="1" s="1"/>
  <c r="B80" i="1"/>
  <c r="B139" i="1" s="1"/>
  <c r="B198" i="1" s="1"/>
  <c r="B257" i="1" s="1"/>
  <c r="B316" i="1" s="1"/>
  <c r="B375" i="1" s="1"/>
  <c r="B434" i="1" s="1"/>
  <c r="B493" i="1" s="1"/>
  <c r="B552" i="1" s="1"/>
  <c r="C80" i="1"/>
  <c r="C139" i="1" s="1"/>
  <c r="C198" i="1" s="1"/>
  <c r="C257" i="1" s="1"/>
  <c r="C316" i="1" s="1"/>
  <c r="C375" i="1" s="1"/>
  <c r="C434" i="1" s="1"/>
  <c r="C493" i="1" s="1"/>
  <c r="C552" i="1" s="1"/>
  <c r="D80" i="1"/>
  <c r="D139" i="1" s="1"/>
  <c r="D198" i="1" s="1"/>
  <c r="D257" i="1" s="1"/>
  <c r="D316" i="1" s="1"/>
  <c r="D375" i="1" s="1"/>
  <c r="D434" i="1" s="1"/>
  <c r="D493" i="1" s="1"/>
  <c r="D552" i="1" s="1"/>
  <c r="E80" i="1"/>
  <c r="E139" i="1" s="1"/>
  <c r="E198" i="1" s="1"/>
  <c r="E257" i="1" s="1"/>
  <c r="E316" i="1" s="1"/>
  <c r="E375" i="1" s="1"/>
  <c r="E434" i="1" s="1"/>
  <c r="E493" i="1" s="1"/>
  <c r="E552" i="1" s="1"/>
  <c r="F80" i="1"/>
  <c r="F139" i="1" s="1"/>
  <c r="F198" i="1" s="1"/>
  <c r="F257" i="1" s="1"/>
  <c r="F316" i="1" s="1"/>
  <c r="F375" i="1" s="1"/>
  <c r="F434" i="1" s="1"/>
  <c r="F493" i="1" s="1"/>
  <c r="F552" i="1" s="1"/>
  <c r="A81" i="1"/>
  <c r="A140" i="1" s="1"/>
  <c r="A199" i="1" s="1"/>
  <c r="A258" i="1" s="1"/>
  <c r="A317" i="1" s="1"/>
  <c r="A376" i="1" s="1"/>
  <c r="A435" i="1" s="1"/>
  <c r="A494" i="1" s="1"/>
  <c r="A553" i="1" s="1"/>
  <c r="B81" i="1"/>
  <c r="B140" i="1" s="1"/>
  <c r="B199" i="1" s="1"/>
  <c r="B258" i="1" s="1"/>
  <c r="B317" i="1" s="1"/>
  <c r="B376" i="1" s="1"/>
  <c r="B435" i="1" s="1"/>
  <c r="B494" i="1" s="1"/>
  <c r="B553" i="1" s="1"/>
  <c r="C81" i="1"/>
  <c r="C140" i="1" s="1"/>
  <c r="C199" i="1" s="1"/>
  <c r="C258" i="1" s="1"/>
  <c r="C317" i="1" s="1"/>
  <c r="C376" i="1" s="1"/>
  <c r="C435" i="1" s="1"/>
  <c r="C494" i="1" s="1"/>
  <c r="C553" i="1" s="1"/>
  <c r="D81" i="1"/>
  <c r="D140" i="1" s="1"/>
  <c r="D199" i="1" s="1"/>
  <c r="D258" i="1" s="1"/>
  <c r="D317" i="1" s="1"/>
  <c r="D376" i="1" s="1"/>
  <c r="D435" i="1" s="1"/>
  <c r="D494" i="1" s="1"/>
  <c r="D553" i="1" s="1"/>
  <c r="E81" i="1"/>
  <c r="E140" i="1" s="1"/>
  <c r="E199" i="1" s="1"/>
  <c r="E258" i="1" s="1"/>
  <c r="E317" i="1" s="1"/>
  <c r="E376" i="1" s="1"/>
  <c r="E435" i="1" s="1"/>
  <c r="E494" i="1" s="1"/>
  <c r="E553" i="1" s="1"/>
  <c r="F81" i="1"/>
  <c r="F140" i="1" s="1"/>
  <c r="F199" i="1" s="1"/>
  <c r="F258" i="1" s="1"/>
  <c r="F317" i="1" s="1"/>
  <c r="F376" i="1" s="1"/>
  <c r="F435" i="1" s="1"/>
  <c r="F494" i="1" s="1"/>
  <c r="F553" i="1" s="1"/>
  <c r="A82" i="1"/>
  <c r="A141" i="1" s="1"/>
  <c r="A200" i="1" s="1"/>
  <c r="A259" i="1" s="1"/>
  <c r="A318" i="1" s="1"/>
  <c r="A377" i="1" s="1"/>
  <c r="A436" i="1" s="1"/>
  <c r="A495" i="1" s="1"/>
  <c r="A554" i="1" s="1"/>
  <c r="B82" i="1"/>
  <c r="B141" i="1" s="1"/>
  <c r="B200" i="1" s="1"/>
  <c r="B259" i="1" s="1"/>
  <c r="B318" i="1" s="1"/>
  <c r="B377" i="1" s="1"/>
  <c r="B436" i="1" s="1"/>
  <c r="B495" i="1" s="1"/>
  <c r="B554" i="1" s="1"/>
  <c r="C82" i="1"/>
  <c r="C141" i="1" s="1"/>
  <c r="C200" i="1" s="1"/>
  <c r="C259" i="1" s="1"/>
  <c r="C318" i="1" s="1"/>
  <c r="C377" i="1" s="1"/>
  <c r="C436" i="1" s="1"/>
  <c r="C495" i="1" s="1"/>
  <c r="C554" i="1" s="1"/>
  <c r="D82" i="1"/>
  <c r="D141" i="1" s="1"/>
  <c r="D200" i="1" s="1"/>
  <c r="D259" i="1" s="1"/>
  <c r="D318" i="1" s="1"/>
  <c r="D377" i="1" s="1"/>
  <c r="D436" i="1" s="1"/>
  <c r="D495" i="1" s="1"/>
  <c r="D554" i="1" s="1"/>
  <c r="E82" i="1"/>
  <c r="E141" i="1" s="1"/>
  <c r="E200" i="1" s="1"/>
  <c r="E259" i="1" s="1"/>
  <c r="E318" i="1" s="1"/>
  <c r="E377" i="1" s="1"/>
  <c r="E436" i="1" s="1"/>
  <c r="E495" i="1" s="1"/>
  <c r="E554" i="1" s="1"/>
  <c r="F82" i="1"/>
  <c r="F141" i="1" s="1"/>
  <c r="F200" i="1" s="1"/>
  <c r="F259" i="1" s="1"/>
  <c r="F318" i="1" s="1"/>
  <c r="F377" i="1" s="1"/>
  <c r="F436" i="1" s="1"/>
  <c r="F495" i="1" s="1"/>
  <c r="F554" i="1" s="1"/>
  <c r="A83" i="1"/>
  <c r="A142" i="1" s="1"/>
  <c r="A201" i="1" s="1"/>
  <c r="A260" i="1" s="1"/>
  <c r="A319" i="1" s="1"/>
  <c r="A378" i="1" s="1"/>
  <c r="A437" i="1" s="1"/>
  <c r="A496" i="1" s="1"/>
  <c r="A555" i="1" s="1"/>
  <c r="B83" i="1"/>
  <c r="B142" i="1" s="1"/>
  <c r="B201" i="1" s="1"/>
  <c r="B260" i="1" s="1"/>
  <c r="B319" i="1" s="1"/>
  <c r="B378" i="1" s="1"/>
  <c r="B437" i="1" s="1"/>
  <c r="B496" i="1" s="1"/>
  <c r="B555" i="1" s="1"/>
  <c r="C83" i="1"/>
  <c r="C142" i="1" s="1"/>
  <c r="C201" i="1" s="1"/>
  <c r="C260" i="1" s="1"/>
  <c r="C319" i="1" s="1"/>
  <c r="C378" i="1" s="1"/>
  <c r="C437" i="1" s="1"/>
  <c r="C496" i="1" s="1"/>
  <c r="C555" i="1" s="1"/>
  <c r="D83" i="1"/>
  <c r="D142" i="1" s="1"/>
  <c r="D201" i="1" s="1"/>
  <c r="D260" i="1" s="1"/>
  <c r="D319" i="1" s="1"/>
  <c r="D378" i="1" s="1"/>
  <c r="D437" i="1" s="1"/>
  <c r="D496" i="1" s="1"/>
  <c r="D555" i="1" s="1"/>
  <c r="E83" i="1"/>
  <c r="E142" i="1" s="1"/>
  <c r="E201" i="1" s="1"/>
  <c r="E260" i="1" s="1"/>
  <c r="E319" i="1" s="1"/>
  <c r="E378" i="1" s="1"/>
  <c r="E437" i="1" s="1"/>
  <c r="E496" i="1" s="1"/>
  <c r="E555" i="1" s="1"/>
  <c r="F83" i="1"/>
  <c r="F142" i="1" s="1"/>
  <c r="F201" i="1" s="1"/>
  <c r="F260" i="1" s="1"/>
  <c r="F319" i="1" s="1"/>
  <c r="F378" i="1" s="1"/>
  <c r="F437" i="1" s="1"/>
  <c r="F496" i="1" s="1"/>
  <c r="F555" i="1" s="1"/>
  <c r="A84" i="1"/>
  <c r="A143" i="1" s="1"/>
  <c r="A202" i="1" s="1"/>
  <c r="A261" i="1" s="1"/>
  <c r="A320" i="1" s="1"/>
  <c r="A379" i="1" s="1"/>
  <c r="A438" i="1" s="1"/>
  <c r="A497" i="1" s="1"/>
  <c r="A556" i="1" s="1"/>
  <c r="B84" i="1"/>
  <c r="B143" i="1" s="1"/>
  <c r="B202" i="1" s="1"/>
  <c r="B261" i="1" s="1"/>
  <c r="B320" i="1" s="1"/>
  <c r="B379" i="1" s="1"/>
  <c r="B438" i="1" s="1"/>
  <c r="B497" i="1" s="1"/>
  <c r="B556" i="1" s="1"/>
  <c r="C84" i="1"/>
  <c r="C143" i="1" s="1"/>
  <c r="C202" i="1" s="1"/>
  <c r="C261" i="1" s="1"/>
  <c r="C320" i="1" s="1"/>
  <c r="C379" i="1" s="1"/>
  <c r="C438" i="1" s="1"/>
  <c r="C497" i="1" s="1"/>
  <c r="C556" i="1" s="1"/>
  <c r="D84" i="1"/>
  <c r="D143" i="1" s="1"/>
  <c r="D202" i="1" s="1"/>
  <c r="D261" i="1" s="1"/>
  <c r="D320" i="1" s="1"/>
  <c r="D379" i="1" s="1"/>
  <c r="D438" i="1" s="1"/>
  <c r="D497" i="1" s="1"/>
  <c r="D556" i="1" s="1"/>
  <c r="E84" i="1"/>
  <c r="E143" i="1" s="1"/>
  <c r="E202" i="1" s="1"/>
  <c r="E261" i="1" s="1"/>
  <c r="E320" i="1" s="1"/>
  <c r="E379" i="1" s="1"/>
  <c r="E438" i="1" s="1"/>
  <c r="E497" i="1" s="1"/>
  <c r="E556" i="1" s="1"/>
  <c r="F84" i="1"/>
  <c r="F143" i="1" s="1"/>
  <c r="F202" i="1" s="1"/>
  <c r="F261" i="1" s="1"/>
  <c r="F320" i="1" s="1"/>
  <c r="F379" i="1" s="1"/>
  <c r="F438" i="1" s="1"/>
  <c r="F497" i="1" s="1"/>
  <c r="F556" i="1" s="1"/>
  <c r="A85" i="1"/>
  <c r="A144" i="1" s="1"/>
  <c r="A203" i="1" s="1"/>
  <c r="A262" i="1" s="1"/>
  <c r="A321" i="1" s="1"/>
  <c r="A380" i="1" s="1"/>
  <c r="A439" i="1" s="1"/>
  <c r="A498" i="1" s="1"/>
  <c r="A557" i="1" s="1"/>
  <c r="B85" i="1"/>
  <c r="B144" i="1" s="1"/>
  <c r="B203" i="1" s="1"/>
  <c r="B262" i="1" s="1"/>
  <c r="B321" i="1" s="1"/>
  <c r="B380" i="1" s="1"/>
  <c r="B439" i="1" s="1"/>
  <c r="B498" i="1" s="1"/>
  <c r="B557" i="1" s="1"/>
  <c r="C85" i="1"/>
  <c r="C144" i="1" s="1"/>
  <c r="C203" i="1" s="1"/>
  <c r="C262" i="1" s="1"/>
  <c r="C321" i="1" s="1"/>
  <c r="C380" i="1" s="1"/>
  <c r="C439" i="1" s="1"/>
  <c r="C498" i="1" s="1"/>
  <c r="C557" i="1" s="1"/>
  <c r="D85" i="1"/>
  <c r="D144" i="1" s="1"/>
  <c r="D203" i="1" s="1"/>
  <c r="D262" i="1" s="1"/>
  <c r="D321" i="1" s="1"/>
  <c r="D380" i="1" s="1"/>
  <c r="D439" i="1" s="1"/>
  <c r="D498" i="1" s="1"/>
  <c r="D557" i="1" s="1"/>
  <c r="E85" i="1"/>
  <c r="E144" i="1" s="1"/>
  <c r="E203" i="1" s="1"/>
  <c r="E262" i="1" s="1"/>
  <c r="E321" i="1" s="1"/>
  <c r="E380" i="1" s="1"/>
  <c r="E439" i="1" s="1"/>
  <c r="E498" i="1" s="1"/>
  <c r="E557" i="1" s="1"/>
  <c r="F85" i="1"/>
  <c r="F144" i="1" s="1"/>
  <c r="F203" i="1" s="1"/>
  <c r="F262" i="1" s="1"/>
  <c r="F321" i="1" s="1"/>
  <c r="F380" i="1" s="1"/>
  <c r="F439" i="1" s="1"/>
  <c r="F498" i="1" s="1"/>
  <c r="F557" i="1" s="1"/>
  <c r="A86" i="1"/>
  <c r="A145" i="1" s="1"/>
  <c r="A204" i="1" s="1"/>
  <c r="A263" i="1" s="1"/>
  <c r="A322" i="1" s="1"/>
  <c r="A381" i="1" s="1"/>
  <c r="A440" i="1" s="1"/>
  <c r="A499" i="1" s="1"/>
  <c r="A558" i="1" s="1"/>
  <c r="B86" i="1"/>
  <c r="B145" i="1" s="1"/>
  <c r="B204" i="1" s="1"/>
  <c r="B263" i="1" s="1"/>
  <c r="B322" i="1" s="1"/>
  <c r="B381" i="1" s="1"/>
  <c r="B440" i="1" s="1"/>
  <c r="B499" i="1" s="1"/>
  <c r="B558" i="1" s="1"/>
  <c r="C86" i="1"/>
  <c r="C145" i="1" s="1"/>
  <c r="C204" i="1" s="1"/>
  <c r="C263" i="1" s="1"/>
  <c r="C322" i="1" s="1"/>
  <c r="C381" i="1" s="1"/>
  <c r="C440" i="1" s="1"/>
  <c r="C499" i="1" s="1"/>
  <c r="C558" i="1" s="1"/>
  <c r="D86" i="1"/>
  <c r="D145" i="1" s="1"/>
  <c r="D204" i="1" s="1"/>
  <c r="D263" i="1" s="1"/>
  <c r="D322" i="1" s="1"/>
  <c r="D381" i="1" s="1"/>
  <c r="D440" i="1" s="1"/>
  <c r="D499" i="1" s="1"/>
  <c r="D558" i="1" s="1"/>
  <c r="E86" i="1"/>
  <c r="E145" i="1" s="1"/>
  <c r="E204" i="1" s="1"/>
  <c r="E263" i="1" s="1"/>
  <c r="E322" i="1" s="1"/>
  <c r="E381" i="1" s="1"/>
  <c r="E440" i="1" s="1"/>
  <c r="E499" i="1" s="1"/>
  <c r="E558" i="1" s="1"/>
  <c r="F86" i="1"/>
  <c r="F145" i="1" s="1"/>
  <c r="F204" i="1" s="1"/>
  <c r="F263" i="1" s="1"/>
  <c r="F322" i="1" s="1"/>
  <c r="F381" i="1" s="1"/>
  <c r="F440" i="1" s="1"/>
  <c r="F499" i="1" s="1"/>
  <c r="F558" i="1" s="1"/>
  <c r="A87" i="1"/>
  <c r="A146" i="1" s="1"/>
  <c r="A205" i="1" s="1"/>
  <c r="A264" i="1" s="1"/>
  <c r="A323" i="1" s="1"/>
  <c r="A382" i="1" s="1"/>
  <c r="A441" i="1" s="1"/>
  <c r="A500" i="1" s="1"/>
  <c r="A559" i="1" s="1"/>
  <c r="B87" i="1"/>
  <c r="B146" i="1" s="1"/>
  <c r="B205" i="1" s="1"/>
  <c r="B264" i="1" s="1"/>
  <c r="B323" i="1" s="1"/>
  <c r="B382" i="1" s="1"/>
  <c r="B441" i="1" s="1"/>
  <c r="B500" i="1" s="1"/>
  <c r="B559" i="1" s="1"/>
  <c r="C87" i="1"/>
  <c r="C146" i="1" s="1"/>
  <c r="C205" i="1" s="1"/>
  <c r="C264" i="1" s="1"/>
  <c r="C323" i="1" s="1"/>
  <c r="C382" i="1" s="1"/>
  <c r="C441" i="1" s="1"/>
  <c r="C500" i="1" s="1"/>
  <c r="C559" i="1" s="1"/>
  <c r="D87" i="1"/>
  <c r="D146" i="1" s="1"/>
  <c r="D205" i="1" s="1"/>
  <c r="D264" i="1" s="1"/>
  <c r="D323" i="1" s="1"/>
  <c r="D382" i="1" s="1"/>
  <c r="D441" i="1" s="1"/>
  <c r="D500" i="1" s="1"/>
  <c r="D559" i="1" s="1"/>
  <c r="E87" i="1"/>
  <c r="E146" i="1" s="1"/>
  <c r="E205" i="1" s="1"/>
  <c r="E264" i="1" s="1"/>
  <c r="E323" i="1" s="1"/>
  <c r="E382" i="1" s="1"/>
  <c r="E441" i="1" s="1"/>
  <c r="E500" i="1" s="1"/>
  <c r="E559" i="1" s="1"/>
  <c r="F87" i="1"/>
  <c r="F146" i="1" s="1"/>
  <c r="F205" i="1" s="1"/>
  <c r="F264" i="1" s="1"/>
  <c r="F323" i="1" s="1"/>
  <c r="F382" i="1" s="1"/>
  <c r="F441" i="1" s="1"/>
  <c r="F500" i="1" s="1"/>
  <c r="F559" i="1" s="1"/>
  <c r="A88" i="1"/>
  <c r="A147" i="1" s="1"/>
  <c r="A206" i="1" s="1"/>
  <c r="A265" i="1" s="1"/>
  <c r="A324" i="1" s="1"/>
  <c r="A383" i="1" s="1"/>
  <c r="A442" i="1" s="1"/>
  <c r="A501" i="1" s="1"/>
  <c r="A560" i="1" s="1"/>
  <c r="B88" i="1"/>
  <c r="B147" i="1" s="1"/>
  <c r="B206" i="1" s="1"/>
  <c r="B265" i="1" s="1"/>
  <c r="B324" i="1" s="1"/>
  <c r="B383" i="1" s="1"/>
  <c r="B442" i="1" s="1"/>
  <c r="B501" i="1" s="1"/>
  <c r="B560" i="1" s="1"/>
  <c r="C88" i="1"/>
  <c r="C147" i="1" s="1"/>
  <c r="C206" i="1" s="1"/>
  <c r="C265" i="1" s="1"/>
  <c r="C324" i="1" s="1"/>
  <c r="C383" i="1" s="1"/>
  <c r="C442" i="1" s="1"/>
  <c r="C501" i="1" s="1"/>
  <c r="C560" i="1" s="1"/>
  <c r="D88" i="1"/>
  <c r="D147" i="1" s="1"/>
  <c r="D206" i="1" s="1"/>
  <c r="D265" i="1" s="1"/>
  <c r="D324" i="1" s="1"/>
  <c r="D383" i="1" s="1"/>
  <c r="D442" i="1" s="1"/>
  <c r="D501" i="1" s="1"/>
  <c r="D560" i="1" s="1"/>
  <c r="E88" i="1"/>
  <c r="E147" i="1" s="1"/>
  <c r="E206" i="1" s="1"/>
  <c r="E265" i="1" s="1"/>
  <c r="E324" i="1" s="1"/>
  <c r="E383" i="1" s="1"/>
  <c r="E442" i="1" s="1"/>
  <c r="E501" i="1" s="1"/>
  <c r="E560" i="1" s="1"/>
  <c r="F88" i="1"/>
  <c r="F147" i="1" s="1"/>
  <c r="F206" i="1" s="1"/>
  <c r="F265" i="1" s="1"/>
  <c r="F324" i="1" s="1"/>
  <c r="F383" i="1" s="1"/>
  <c r="F442" i="1" s="1"/>
  <c r="F501" i="1" s="1"/>
  <c r="F560" i="1" s="1"/>
  <c r="A89" i="1"/>
  <c r="A148" i="1" s="1"/>
  <c r="A207" i="1" s="1"/>
  <c r="A266" i="1" s="1"/>
  <c r="A325" i="1" s="1"/>
  <c r="A384" i="1" s="1"/>
  <c r="A443" i="1" s="1"/>
  <c r="A502" i="1" s="1"/>
  <c r="A561" i="1" s="1"/>
  <c r="B89" i="1"/>
  <c r="B148" i="1" s="1"/>
  <c r="B207" i="1" s="1"/>
  <c r="B266" i="1" s="1"/>
  <c r="B325" i="1" s="1"/>
  <c r="B384" i="1" s="1"/>
  <c r="B443" i="1" s="1"/>
  <c r="B502" i="1" s="1"/>
  <c r="B561" i="1" s="1"/>
  <c r="C89" i="1"/>
  <c r="C148" i="1" s="1"/>
  <c r="C207" i="1" s="1"/>
  <c r="C266" i="1" s="1"/>
  <c r="C325" i="1" s="1"/>
  <c r="C384" i="1" s="1"/>
  <c r="C443" i="1" s="1"/>
  <c r="C502" i="1" s="1"/>
  <c r="C561" i="1" s="1"/>
  <c r="D89" i="1"/>
  <c r="D148" i="1" s="1"/>
  <c r="D207" i="1" s="1"/>
  <c r="D266" i="1" s="1"/>
  <c r="D325" i="1" s="1"/>
  <c r="D384" i="1" s="1"/>
  <c r="D443" i="1" s="1"/>
  <c r="D502" i="1" s="1"/>
  <c r="D561" i="1" s="1"/>
  <c r="E89" i="1"/>
  <c r="E148" i="1" s="1"/>
  <c r="E207" i="1" s="1"/>
  <c r="E266" i="1" s="1"/>
  <c r="E325" i="1" s="1"/>
  <c r="E384" i="1" s="1"/>
  <c r="E443" i="1" s="1"/>
  <c r="E502" i="1" s="1"/>
  <c r="E561" i="1" s="1"/>
  <c r="F89" i="1"/>
  <c r="F148" i="1" s="1"/>
  <c r="F207" i="1" s="1"/>
  <c r="F266" i="1" s="1"/>
  <c r="F325" i="1" s="1"/>
  <c r="F384" i="1" s="1"/>
  <c r="F443" i="1" s="1"/>
  <c r="F502" i="1" s="1"/>
  <c r="F561" i="1" s="1"/>
  <c r="A90" i="1"/>
  <c r="A149" i="1" s="1"/>
  <c r="A208" i="1" s="1"/>
  <c r="A267" i="1" s="1"/>
  <c r="A326" i="1" s="1"/>
  <c r="A385" i="1" s="1"/>
  <c r="A444" i="1" s="1"/>
  <c r="A503" i="1" s="1"/>
  <c r="A562" i="1" s="1"/>
  <c r="B90" i="1"/>
  <c r="B149" i="1" s="1"/>
  <c r="B208" i="1" s="1"/>
  <c r="B267" i="1" s="1"/>
  <c r="B326" i="1" s="1"/>
  <c r="B385" i="1" s="1"/>
  <c r="B444" i="1" s="1"/>
  <c r="B503" i="1" s="1"/>
  <c r="B562" i="1" s="1"/>
  <c r="C90" i="1"/>
  <c r="C149" i="1" s="1"/>
  <c r="C208" i="1" s="1"/>
  <c r="C267" i="1" s="1"/>
  <c r="C326" i="1" s="1"/>
  <c r="C385" i="1" s="1"/>
  <c r="C444" i="1" s="1"/>
  <c r="C503" i="1" s="1"/>
  <c r="C562" i="1" s="1"/>
  <c r="D90" i="1"/>
  <c r="D149" i="1" s="1"/>
  <c r="D208" i="1" s="1"/>
  <c r="D267" i="1" s="1"/>
  <c r="D326" i="1" s="1"/>
  <c r="D385" i="1" s="1"/>
  <c r="D444" i="1" s="1"/>
  <c r="D503" i="1" s="1"/>
  <c r="D562" i="1" s="1"/>
  <c r="E90" i="1"/>
  <c r="E149" i="1" s="1"/>
  <c r="E208" i="1" s="1"/>
  <c r="E267" i="1" s="1"/>
  <c r="E326" i="1" s="1"/>
  <c r="E385" i="1" s="1"/>
  <c r="E444" i="1" s="1"/>
  <c r="E503" i="1" s="1"/>
  <c r="E562" i="1" s="1"/>
  <c r="F90" i="1"/>
  <c r="F149" i="1" s="1"/>
  <c r="F208" i="1" s="1"/>
  <c r="F267" i="1" s="1"/>
  <c r="F326" i="1" s="1"/>
  <c r="F385" i="1" s="1"/>
  <c r="F444" i="1" s="1"/>
  <c r="F503" i="1" s="1"/>
  <c r="F562" i="1" s="1"/>
  <c r="A91" i="1"/>
  <c r="A150" i="1" s="1"/>
  <c r="A209" i="1" s="1"/>
  <c r="A268" i="1" s="1"/>
  <c r="A327" i="1" s="1"/>
  <c r="A386" i="1" s="1"/>
  <c r="A445" i="1" s="1"/>
  <c r="A504" i="1" s="1"/>
  <c r="A563" i="1" s="1"/>
  <c r="B91" i="1"/>
  <c r="B150" i="1" s="1"/>
  <c r="B209" i="1" s="1"/>
  <c r="B268" i="1" s="1"/>
  <c r="B327" i="1" s="1"/>
  <c r="B386" i="1" s="1"/>
  <c r="B445" i="1" s="1"/>
  <c r="B504" i="1" s="1"/>
  <c r="B563" i="1" s="1"/>
  <c r="C91" i="1"/>
  <c r="C150" i="1" s="1"/>
  <c r="C209" i="1" s="1"/>
  <c r="C268" i="1" s="1"/>
  <c r="C327" i="1" s="1"/>
  <c r="C386" i="1" s="1"/>
  <c r="C445" i="1" s="1"/>
  <c r="C504" i="1" s="1"/>
  <c r="C563" i="1" s="1"/>
  <c r="D91" i="1"/>
  <c r="D150" i="1" s="1"/>
  <c r="D209" i="1" s="1"/>
  <c r="D268" i="1" s="1"/>
  <c r="D327" i="1" s="1"/>
  <c r="D386" i="1" s="1"/>
  <c r="D445" i="1" s="1"/>
  <c r="D504" i="1" s="1"/>
  <c r="D563" i="1" s="1"/>
  <c r="E91" i="1"/>
  <c r="E150" i="1" s="1"/>
  <c r="E209" i="1" s="1"/>
  <c r="E268" i="1" s="1"/>
  <c r="E327" i="1" s="1"/>
  <c r="E386" i="1" s="1"/>
  <c r="E445" i="1" s="1"/>
  <c r="E504" i="1" s="1"/>
  <c r="E563" i="1" s="1"/>
  <c r="F91" i="1"/>
  <c r="F150" i="1" s="1"/>
  <c r="F209" i="1" s="1"/>
  <c r="F268" i="1" s="1"/>
  <c r="F327" i="1" s="1"/>
  <c r="F386" i="1" s="1"/>
  <c r="F445" i="1" s="1"/>
  <c r="F504" i="1" s="1"/>
  <c r="F563" i="1" s="1"/>
  <c r="A92" i="1"/>
  <c r="A151" i="1" s="1"/>
  <c r="A210" i="1" s="1"/>
  <c r="A269" i="1" s="1"/>
  <c r="A328" i="1" s="1"/>
  <c r="A387" i="1" s="1"/>
  <c r="A446" i="1" s="1"/>
  <c r="A505" i="1" s="1"/>
  <c r="A564" i="1" s="1"/>
  <c r="B92" i="1"/>
  <c r="B151" i="1" s="1"/>
  <c r="B210" i="1" s="1"/>
  <c r="B269" i="1" s="1"/>
  <c r="B328" i="1" s="1"/>
  <c r="B387" i="1" s="1"/>
  <c r="B446" i="1" s="1"/>
  <c r="B505" i="1" s="1"/>
  <c r="B564" i="1" s="1"/>
  <c r="C92" i="1"/>
  <c r="C151" i="1" s="1"/>
  <c r="C210" i="1" s="1"/>
  <c r="C269" i="1" s="1"/>
  <c r="C328" i="1" s="1"/>
  <c r="C387" i="1" s="1"/>
  <c r="C446" i="1" s="1"/>
  <c r="C505" i="1" s="1"/>
  <c r="C564" i="1" s="1"/>
  <c r="D92" i="1"/>
  <c r="D151" i="1" s="1"/>
  <c r="D210" i="1" s="1"/>
  <c r="D269" i="1" s="1"/>
  <c r="D328" i="1" s="1"/>
  <c r="D387" i="1" s="1"/>
  <c r="D446" i="1" s="1"/>
  <c r="D505" i="1" s="1"/>
  <c r="D564" i="1" s="1"/>
  <c r="E92" i="1"/>
  <c r="E151" i="1" s="1"/>
  <c r="E210" i="1" s="1"/>
  <c r="E269" i="1" s="1"/>
  <c r="E328" i="1" s="1"/>
  <c r="E387" i="1" s="1"/>
  <c r="E446" i="1" s="1"/>
  <c r="E505" i="1" s="1"/>
  <c r="E564" i="1" s="1"/>
  <c r="F92" i="1"/>
  <c r="F151" i="1" s="1"/>
  <c r="F210" i="1" s="1"/>
  <c r="F269" i="1" s="1"/>
  <c r="F328" i="1" s="1"/>
  <c r="F387" i="1" s="1"/>
  <c r="F446" i="1" s="1"/>
  <c r="F505" i="1" s="1"/>
  <c r="F564" i="1" s="1"/>
  <c r="A93" i="1"/>
  <c r="A152" i="1" s="1"/>
  <c r="A211" i="1" s="1"/>
  <c r="A270" i="1" s="1"/>
  <c r="A329" i="1" s="1"/>
  <c r="A388" i="1" s="1"/>
  <c r="A447" i="1" s="1"/>
  <c r="A506" i="1" s="1"/>
  <c r="A565" i="1" s="1"/>
  <c r="B93" i="1"/>
  <c r="B152" i="1" s="1"/>
  <c r="B211" i="1" s="1"/>
  <c r="B270" i="1" s="1"/>
  <c r="B329" i="1" s="1"/>
  <c r="B388" i="1" s="1"/>
  <c r="B447" i="1" s="1"/>
  <c r="B506" i="1" s="1"/>
  <c r="B565" i="1" s="1"/>
  <c r="C93" i="1"/>
  <c r="C152" i="1" s="1"/>
  <c r="C211" i="1" s="1"/>
  <c r="C270" i="1" s="1"/>
  <c r="C329" i="1" s="1"/>
  <c r="C388" i="1" s="1"/>
  <c r="C447" i="1" s="1"/>
  <c r="C506" i="1" s="1"/>
  <c r="C565" i="1" s="1"/>
  <c r="D93" i="1"/>
  <c r="D152" i="1" s="1"/>
  <c r="D211" i="1" s="1"/>
  <c r="D270" i="1" s="1"/>
  <c r="D329" i="1" s="1"/>
  <c r="D388" i="1" s="1"/>
  <c r="D447" i="1" s="1"/>
  <c r="D506" i="1" s="1"/>
  <c r="D565" i="1" s="1"/>
  <c r="E93" i="1"/>
  <c r="E152" i="1" s="1"/>
  <c r="E211" i="1" s="1"/>
  <c r="E270" i="1" s="1"/>
  <c r="E329" i="1" s="1"/>
  <c r="E388" i="1" s="1"/>
  <c r="E447" i="1" s="1"/>
  <c r="E506" i="1" s="1"/>
  <c r="E565" i="1" s="1"/>
  <c r="F93" i="1"/>
  <c r="F152" i="1" s="1"/>
  <c r="F211" i="1" s="1"/>
  <c r="F270" i="1" s="1"/>
  <c r="F329" i="1" s="1"/>
  <c r="F388" i="1" s="1"/>
  <c r="F447" i="1" s="1"/>
  <c r="F506" i="1" s="1"/>
  <c r="F565" i="1" s="1"/>
  <c r="A94" i="1"/>
  <c r="A153" i="1" s="1"/>
  <c r="A212" i="1" s="1"/>
  <c r="A271" i="1" s="1"/>
  <c r="A330" i="1" s="1"/>
  <c r="A389" i="1" s="1"/>
  <c r="A448" i="1" s="1"/>
  <c r="A507" i="1" s="1"/>
  <c r="A566" i="1" s="1"/>
  <c r="B94" i="1"/>
  <c r="B153" i="1" s="1"/>
  <c r="B212" i="1" s="1"/>
  <c r="B271" i="1" s="1"/>
  <c r="B330" i="1" s="1"/>
  <c r="B389" i="1" s="1"/>
  <c r="B448" i="1" s="1"/>
  <c r="B507" i="1" s="1"/>
  <c r="B566" i="1" s="1"/>
  <c r="C94" i="1"/>
  <c r="C153" i="1" s="1"/>
  <c r="C212" i="1" s="1"/>
  <c r="C271" i="1" s="1"/>
  <c r="C330" i="1" s="1"/>
  <c r="C389" i="1" s="1"/>
  <c r="C448" i="1" s="1"/>
  <c r="C507" i="1" s="1"/>
  <c r="C566" i="1" s="1"/>
  <c r="D94" i="1"/>
  <c r="D153" i="1" s="1"/>
  <c r="D212" i="1" s="1"/>
  <c r="D271" i="1" s="1"/>
  <c r="D330" i="1" s="1"/>
  <c r="D389" i="1" s="1"/>
  <c r="D448" i="1" s="1"/>
  <c r="D507" i="1" s="1"/>
  <c r="D566" i="1" s="1"/>
  <c r="E94" i="1"/>
  <c r="E153" i="1" s="1"/>
  <c r="E212" i="1" s="1"/>
  <c r="E271" i="1" s="1"/>
  <c r="E330" i="1" s="1"/>
  <c r="E389" i="1" s="1"/>
  <c r="E448" i="1" s="1"/>
  <c r="E507" i="1" s="1"/>
  <c r="E566" i="1" s="1"/>
  <c r="F94" i="1"/>
  <c r="F153" i="1" s="1"/>
  <c r="F212" i="1" s="1"/>
  <c r="F271" i="1" s="1"/>
  <c r="F330" i="1" s="1"/>
  <c r="F389" i="1" s="1"/>
  <c r="F448" i="1" s="1"/>
  <c r="F507" i="1" s="1"/>
  <c r="F566" i="1" s="1"/>
  <c r="A95" i="1"/>
  <c r="A154" i="1" s="1"/>
  <c r="A213" i="1" s="1"/>
  <c r="A272" i="1" s="1"/>
  <c r="A331" i="1" s="1"/>
  <c r="A390" i="1" s="1"/>
  <c r="A449" i="1" s="1"/>
  <c r="A508" i="1" s="1"/>
  <c r="A567" i="1" s="1"/>
  <c r="B95" i="1"/>
  <c r="B154" i="1" s="1"/>
  <c r="B213" i="1" s="1"/>
  <c r="B272" i="1" s="1"/>
  <c r="B331" i="1" s="1"/>
  <c r="B390" i="1" s="1"/>
  <c r="B449" i="1" s="1"/>
  <c r="B508" i="1" s="1"/>
  <c r="B567" i="1" s="1"/>
  <c r="C95" i="1"/>
  <c r="C154" i="1" s="1"/>
  <c r="C213" i="1" s="1"/>
  <c r="C272" i="1" s="1"/>
  <c r="C331" i="1" s="1"/>
  <c r="C390" i="1" s="1"/>
  <c r="C449" i="1" s="1"/>
  <c r="C508" i="1" s="1"/>
  <c r="C567" i="1" s="1"/>
  <c r="D95" i="1"/>
  <c r="D154" i="1" s="1"/>
  <c r="D213" i="1" s="1"/>
  <c r="D272" i="1" s="1"/>
  <c r="D331" i="1" s="1"/>
  <c r="D390" i="1" s="1"/>
  <c r="D449" i="1" s="1"/>
  <c r="D508" i="1" s="1"/>
  <c r="D567" i="1" s="1"/>
  <c r="E95" i="1"/>
  <c r="E154" i="1" s="1"/>
  <c r="E213" i="1" s="1"/>
  <c r="E272" i="1" s="1"/>
  <c r="E331" i="1" s="1"/>
  <c r="E390" i="1" s="1"/>
  <c r="E449" i="1" s="1"/>
  <c r="E508" i="1" s="1"/>
  <c r="E567" i="1" s="1"/>
  <c r="F95" i="1"/>
  <c r="F154" i="1" s="1"/>
  <c r="F213" i="1" s="1"/>
  <c r="F272" i="1" s="1"/>
  <c r="F331" i="1" s="1"/>
  <c r="F390" i="1" s="1"/>
  <c r="F449" i="1" s="1"/>
  <c r="F508" i="1" s="1"/>
  <c r="F567" i="1" s="1"/>
  <c r="A96" i="1"/>
  <c r="A155" i="1" s="1"/>
  <c r="A214" i="1" s="1"/>
  <c r="A273" i="1" s="1"/>
  <c r="A332" i="1" s="1"/>
  <c r="A391" i="1" s="1"/>
  <c r="A450" i="1" s="1"/>
  <c r="A509" i="1" s="1"/>
  <c r="A568" i="1" s="1"/>
  <c r="B96" i="1"/>
  <c r="B155" i="1" s="1"/>
  <c r="B214" i="1" s="1"/>
  <c r="B273" i="1" s="1"/>
  <c r="B332" i="1" s="1"/>
  <c r="B391" i="1" s="1"/>
  <c r="B450" i="1" s="1"/>
  <c r="B509" i="1" s="1"/>
  <c r="B568" i="1" s="1"/>
  <c r="C96" i="1"/>
  <c r="C155" i="1" s="1"/>
  <c r="C214" i="1" s="1"/>
  <c r="C273" i="1" s="1"/>
  <c r="C332" i="1" s="1"/>
  <c r="C391" i="1" s="1"/>
  <c r="C450" i="1" s="1"/>
  <c r="C509" i="1" s="1"/>
  <c r="C568" i="1" s="1"/>
  <c r="D96" i="1"/>
  <c r="D155" i="1" s="1"/>
  <c r="D214" i="1" s="1"/>
  <c r="D273" i="1" s="1"/>
  <c r="D332" i="1" s="1"/>
  <c r="D391" i="1" s="1"/>
  <c r="D450" i="1" s="1"/>
  <c r="D509" i="1" s="1"/>
  <c r="D568" i="1" s="1"/>
  <c r="E96" i="1"/>
  <c r="E155" i="1" s="1"/>
  <c r="E214" i="1" s="1"/>
  <c r="E273" i="1" s="1"/>
  <c r="E332" i="1" s="1"/>
  <c r="E391" i="1" s="1"/>
  <c r="E450" i="1" s="1"/>
  <c r="E509" i="1" s="1"/>
  <c r="E568" i="1" s="1"/>
  <c r="F96" i="1"/>
  <c r="F155" i="1" s="1"/>
  <c r="F214" i="1" s="1"/>
  <c r="F273" i="1" s="1"/>
  <c r="F332" i="1" s="1"/>
  <c r="F391" i="1" s="1"/>
  <c r="F450" i="1" s="1"/>
  <c r="F509" i="1" s="1"/>
  <c r="F568" i="1" s="1"/>
  <c r="A97" i="1"/>
  <c r="A156" i="1" s="1"/>
  <c r="A215" i="1" s="1"/>
  <c r="A274" i="1" s="1"/>
  <c r="A333" i="1" s="1"/>
  <c r="A392" i="1" s="1"/>
  <c r="A451" i="1" s="1"/>
  <c r="A510" i="1" s="1"/>
  <c r="A569" i="1" s="1"/>
  <c r="B97" i="1"/>
  <c r="B156" i="1" s="1"/>
  <c r="B215" i="1" s="1"/>
  <c r="B274" i="1" s="1"/>
  <c r="B333" i="1" s="1"/>
  <c r="B392" i="1" s="1"/>
  <c r="B451" i="1" s="1"/>
  <c r="B510" i="1" s="1"/>
  <c r="B569" i="1" s="1"/>
  <c r="C97" i="1"/>
  <c r="C156" i="1" s="1"/>
  <c r="C215" i="1" s="1"/>
  <c r="C274" i="1" s="1"/>
  <c r="C333" i="1" s="1"/>
  <c r="C392" i="1" s="1"/>
  <c r="C451" i="1" s="1"/>
  <c r="C510" i="1" s="1"/>
  <c r="C569" i="1" s="1"/>
  <c r="D97" i="1"/>
  <c r="D156" i="1" s="1"/>
  <c r="D215" i="1" s="1"/>
  <c r="D274" i="1" s="1"/>
  <c r="D333" i="1" s="1"/>
  <c r="D392" i="1" s="1"/>
  <c r="D451" i="1" s="1"/>
  <c r="D510" i="1" s="1"/>
  <c r="D569" i="1" s="1"/>
  <c r="E97" i="1"/>
  <c r="E156" i="1" s="1"/>
  <c r="E215" i="1" s="1"/>
  <c r="E274" i="1" s="1"/>
  <c r="E333" i="1" s="1"/>
  <c r="E392" i="1" s="1"/>
  <c r="E451" i="1" s="1"/>
  <c r="E510" i="1" s="1"/>
  <c r="E569" i="1" s="1"/>
  <c r="F97" i="1"/>
  <c r="F156" i="1" s="1"/>
  <c r="F215" i="1" s="1"/>
  <c r="F274" i="1" s="1"/>
  <c r="F333" i="1" s="1"/>
  <c r="F392" i="1" s="1"/>
  <c r="F451" i="1" s="1"/>
  <c r="F510" i="1" s="1"/>
  <c r="F569" i="1" s="1"/>
  <c r="A98" i="1"/>
  <c r="A157" i="1" s="1"/>
  <c r="A216" i="1" s="1"/>
  <c r="A275" i="1" s="1"/>
  <c r="A334" i="1" s="1"/>
  <c r="A393" i="1" s="1"/>
  <c r="A452" i="1" s="1"/>
  <c r="A511" i="1" s="1"/>
  <c r="A570" i="1" s="1"/>
  <c r="B98" i="1"/>
  <c r="B157" i="1" s="1"/>
  <c r="B216" i="1" s="1"/>
  <c r="B275" i="1" s="1"/>
  <c r="B334" i="1" s="1"/>
  <c r="B393" i="1" s="1"/>
  <c r="B452" i="1" s="1"/>
  <c r="B511" i="1" s="1"/>
  <c r="B570" i="1" s="1"/>
  <c r="C98" i="1"/>
  <c r="C157" i="1" s="1"/>
  <c r="C216" i="1" s="1"/>
  <c r="C275" i="1" s="1"/>
  <c r="C334" i="1" s="1"/>
  <c r="C393" i="1" s="1"/>
  <c r="C452" i="1" s="1"/>
  <c r="C511" i="1" s="1"/>
  <c r="C570" i="1" s="1"/>
  <c r="D98" i="1"/>
  <c r="D157" i="1" s="1"/>
  <c r="D216" i="1" s="1"/>
  <c r="D275" i="1" s="1"/>
  <c r="D334" i="1" s="1"/>
  <c r="D393" i="1" s="1"/>
  <c r="D452" i="1" s="1"/>
  <c r="D511" i="1" s="1"/>
  <c r="D570" i="1" s="1"/>
  <c r="E98" i="1"/>
  <c r="E157" i="1" s="1"/>
  <c r="E216" i="1" s="1"/>
  <c r="E275" i="1" s="1"/>
  <c r="E334" i="1" s="1"/>
  <c r="E393" i="1" s="1"/>
  <c r="E452" i="1" s="1"/>
  <c r="E511" i="1" s="1"/>
  <c r="E570" i="1" s="1"/>
  <c r="F98" i="1"/>
  <c r="F157" i="1" s="1"/>
  <c r="F216" i="1" s="1"/>
  <c r="F275" i="1" s="1"/>
  <c r="F334" i="1" s="1"/>
  <c r="F393" i="1" s="1"/>
  <c r="F452" i="1" s="1"/>
  <c r="F511" i="1" s="1"/>
  <c r="F570" i="1" s="1"/>
  <c r="A99" i="1"/>
  <c r="A158" i="1" s="1"/>
  <c r="A217" i="1" s="1"/>
  <c r="A276" i="1" s="1"/>
  <c r="A335" i="1" s="1"/>
  <c r="A394" i="1" s="1"/>
  <c r="A453" i="1" s="1"/>
  <c r="A512" i="1" s="1"/>
  <c r="A571" i="1" s="1"/>
  <c r="B99" i="1"/>
  <c r="B158" i="1" s="1"/>
  <c r="B217" i="1" s="1"/>
  <c r="B276" i="1" s="1"/>
  <c r="B335" i="1" s="1"/>
  <c r="B394" i="1" s="1"/>
  <c r="B453" i="1" s="1"/>
  <c r="B512" i="1" s="1"/>
  <c r="B571" i="1" s="1"/>
  <c r="C99" i="1"/>
  <c r="C158" i="1" s="1"/>
  <c r="C217" i="1" s="1"/>
  <c r="C276" i="1" s="1"/>
  <c r="C335" i="1" s="1"/>
  <c r="C394" i="1" s="1"/>
  <c r="C453" i="1" s="1"/>
  <c r="C512" i="1" s="1"/>
  <c r="C571" i="1" s="1"/>
  <c r="D99" i="1"/>
  <c r="D158" i="1" s="1"/>
  <c r="D217" i="1" s="1"/>
  <c r="D276" i="1" s="1"/>
  <c r="D335" i="1" s="1"/>
  <c r="D394" i="1" s="1"/>
  <c r="D453" i="1" s="1"/>
  <c r="D512" i="1" s="1"/>
  <c r="D571" i="1" s="1"/>
  <c r="E99" i="1"/>
  <c r="E158" i="1" s="1"/>
  <c r="E217" i="1" s="1"/>
  <c r="E276" i="1" s="1"/>
  <c r="E335" i="1" s="1"/>
  <c r="E394" i="1" s="1"/>
  <c r="E453" i="1" s="1"/>
  <c r="E512" i="1" s="1"/>
  <c r="E571" i="1" s="1"/>
  <c r="F99" i="1"/>
  <c r="F158" i="1" s="1"/>
  <c r="F217" i="1" s="1"/>
  <c r="F276" i="1" s="1"/>
  <c r="F335" i="1" s="1"/>
  <c r="F394" i="1" s="1"/>
  <c r="F453" i="1" s="1"/>
  <c r="F512" i="1" s="1"/>
  <c r="F571" i="1" s="1"/>
  <c r="A100" i="1"/>
  <c r="A159" i="1" s="1"/>
  <c r="A218" i="1" s="1"/>
  <c r="A277" i="1" s="1"/>
  <c r="A336" i="1" s="1"/>
  <c r="A395" i="1" s="1"/>
  <c r="A454" i="1" s="1"/>
  <c r="A513" i="1" s="1"/>
  <c r="A572" i="1" s="1"/>
  <c r="B100" i="1"/>
  <c r="B159" i="1" s="1"/>
  <c r="B218" i="1" s="1"/>
  <c r="B277" i="1" s="1"/>
  <c r="B336" i="1" s="1"/>
  <c r="B395" i="1" s="1"/>
  <c r="B454" i="1" s="1"/>
  <c r="B513" i="1" s="1"/>
  <c r="B572" i="1" s="1"/>
  <c r="C100" i="1"/>
  <c r="C159" i="1" s="1"/>
  <c r="C218" i="1" s="1"/>
  <c r="C277" i="1" s="1"/>
  <c r="C336" i="1" s="1"/>
  <c r="C395" i="1" s="1"/>
  <c r="C454" i="1" s="1"/>
  <c r="C513" i="1" s="1"/>
  <c r="C572" i="1" s="1"/>
  <c r="D100" i="1"/>
  <c r="D159" i="1" s="1"/>
  <c r="D218" i="1" s="1"/>
  <c r="D277" i="1" s="1"/>
  <c r="D336" i="1" s="1"/>
  <c r="D395" i="1" s="1"/>
  <c r="D454" i="1" s="1"/>
  <c r="D513" i="1" s="1"/>
  <c r="D572" i="1" s="1"/>
  <c r="E100" i="1"/>
  <c r="E159" i="1" s="1"/>
  <c r="E218" i="1" s="1"/>
  <c r="E277" i="1" s="1"/>
  <c r="E336" i="1" s="1"/>
  <c r="E395" i="1" s="1"/>
  <c r="E454" i="1" s="1"/>
  <c r="E513" i="1" s="1"/>
  <c r="E572" i="1" s="1"/>
  <c r="F100" i="1"/>
  <c r="F159" i="1" s="1"/>
  <c r="F218" i="1" s="1"/>
  <c r="F277" i="1" s="1"/>
  <c r="F336" i="1" s="1"/>
  <c r="F395" i="1" s="1"/>
  <c r="F454" i="1" s="1"/>
  <c r="F513" i="1" s="1"/>
  <c r="F572" i="1" s="1"/>
  <c r="A101" i="1"/>
  <c r="A160" i="1" s="1"/>
  <c r="A219" i="1" s="1"/>
  <c r="A278" i="1" s="1"/>
  <c r="A337" i="1" s="1"/>
  <c r="A396" i="1" s="1"/>
  <c r="A455" i="1" s="1"/>
  <c r="A514" i="1" s="1"/>
  <c r="A573" i="1" s="1"/>
  <c r="B101" i="1"/>
  <c r="B160" i="1" s="1"/>
  <c r="B219" i="1" s="1"/>
  <c r="B278" i="1" s="1"/>
  <c r="B337" i="1" s="1"/>
  <c r="B396" i="1" s="1"/>
  <c r="B455" i="1" s="1"/>
  <c r="B514" i="1" s="1"/>
  <c r="B573" i="1" s="1"/>
  <c r="C101" i="1"/>
  <c r="C160" i="1" s="1"/>
  <c r="C219" i="1" s="1"/>
  <c r="C278" i="1" s="1"/>
  <c r="C337" i="1" s="1"/>
  <c r="C396" i="1" s="1"/>
  <c r="C455" i="1" s="1"/>
  <c r="C514" i="1" s="1"/>
  <c r="C573" i="1" s="1"/>
  <c r="D101" i="1"/>
  <c r="D160" i="1" s="1"/>
  <c r="D219" i="1" s="1"/>
  <c r="D278" i="1" s="1"/>
  <c r="D337" i="1" s="1"/>
  <c r="D396" i="1" s="1"/>
  <c r="D455" i="1" s="1"/>
  <c r="D514" i="1" s="1"/>
  <c r="D573" i="1" s="1"/>
  <c r="E101" i="1"/>
  <c r="E160" i="1" s="1"/>
  <c r="E219" i="1" s="1"/>
  <c r="E278" i="1" s="1"/>
  <c r="E337" i="1" s="1"/>
  <c r="E396" i="1" s="1"/>
  <c r="E455" i="1" s="1"/>
  <c r="E514" i="1" s="1"/>
  <c r="E573" i="1" s="1"/>
  <c r="F101" i="1"/>
  <c r="F160" i="1" s="1"/>
  <c r="F219" i="1" s="1"/>
  <c r="F278" i="1" s="1"/>
  <c r="F337" i="1" s="1"/>
  <c r="F396" i="1" s="1"/>
  <c r="F455" i="1" s="1"/>
  <c r="F514" i="1" s="1"/>
  <c r="F573" i="1" s="1"/>
  <c r="A102" i="1"/>
  <c r="A161" i="1" s="1"/>
  <c r="A220" i="1" s="1"/>
  <c r="A279" i="1" s="1"/>
  <c r="A338" i="1" s="1"/>
  <c r="A397" i="1" s="1"/>
  <c r="A456" i="1" s="1"/>
  <c r="A515" i="1" s="1"/>
  <c r="A574" i="1" s="1"/>
  <c r="B102" i="1"/>
  <c r="B161" i="1" s="1"/>
  <c r="B220" i="1" s="1"/>
  <c r="B279" i="1" s="1"/>
  <c r="B338" i="1" s="1"/>
  <c r="B397" i="1" s="1"/>
  <c r="B456" i="1" s="1"/>
  <c r="B515" i="1" s="1"/>
  <c r="B574" i="1" s="1"/>
  <c r="C102" i="1"/>
  <c r="C161" i="1" s="1"/>
  <c r="C220" i="1" s="1"/>
  <c r="C279" i="1" s="1"/>
  <c r="C338" i="1" s="1"/>
  <c r="C397" i="1" s="1"/>
  <c r="C456" i="1" s="1"/>
  <c r="C515" i="1" s="1"/>
  <c r="C574" i="1" s="1"/>
  <c r="D102" i="1"/>
  <c r="D161" i="1" s="1"/>
  <c r="D220" i="1" s="1"/>
  <c r="D279" i="1" s="1"/>
  <c r="D338" i="1" s="1"/>
  <c r="D397" i="1" s="1"/>
  <c r="D456" i="1" s="1"/>
  <c r="D515" i="1" s="1"/>
  <c r="D574" i="1" s="1"/>
  <c r="E102" i="1"/>
  <c r="E161" i="1" s="1"/>
  <c r="E220" i="1" s="1"/>
  <c r="E279" i="1" s="1"/>
  <c r="E338" i="1" s="1"/>
  <c r="E397" i="1" s="1"/>
  <c r="E456" i="1" s="1"/>
  <c r="E515" i="1" s="1"/>
  <c r="E574" i="1" s="1"/>
  <c r="F102" i="1"/>
  <c r="F161" i="1" s="1"/>
  <c r="F220" i="1" s="1"/>
  <c r="F279" i="1" s="1"/>
  <c r="F338" i="1" s="1"/>
  <c r="F397" i="1" s="1"/>
  <c r="F456" i="1" s="1"/>
  <c r="F515" i="1" s="1"/>
  <c r="F574" i="1" s="1"/>
  <c r="A103" i="1"/>
  <c r="A162" i="1" s="1"/>
  <c r="A221" i="1" s="1"/>
  <c r="A280" i="1" s="1"/>
  <c r="A339" i="1" s="1"/>
  <c r="A398" i="1" s="1"/>
  <c r="A457" i="1" s="1"/>
  <c r="A516" i="1" s="1"/>
  <c r="A575" i="1" s="1"/>
  <c r="B103" i="1"/>
  <c r="B162" i="1" s="1"/>
  <c r="B221" i="1" s="1"/>
  <c r="B280" i="1" s="1"/>
  <c r="B339" i="1" s="1"/>
  <c r="B398" i="1" s="1"/>
  <c r="B457" i="1" s="1"/>
  <c r="B516" i="1" s="1"/>
  <c r="B575" i="1" s="1"/>
  <c r="C103" i="1"/>
  <c r="C162" i="1" s="1"/>
  <c r="C221" i="1" s="1"/>
  <c r="C280" i="1" s="1"/>
  <c r="C339" i="1" s="1"/>
  <c r="C398" i="1" s="1"/>
  <c r="C457" i="1" s="1"/>
  <c r="C516" i="1" s="1"/>
  <c r="C575" i="1" s="1"/>
  <c r="D103" i="1"/>
  <c r="D162" i="1" s="1"/>
  <c r="D221" i="1" s="1"/>
  <c r="D280" i="1" s="1"/>
  <c r="D339" i="1" s="1"/>
  <c r="D398" i="1" s="1"/>
  <c r="D457" i="1" s="1"/>
  <c r="D516" i="1" s="1"/>
  <c r="D575" i="1" s="1"/>
  <c r="E103" i="1"/>
  <c r="E162" i="1" s="1"/>
  <c r="E221" i="1" s="1"/>
  <c r="E280" i="1" s="1"/>
  <c r="E339" i="1" s="1"/>
  <c r="E398" i="1" s="1"/>
  <c r="E457" i="1" s="1"/>
  <c r="E516" i="1" s="1"/>
  <c r="E575" i="1" s="1"/>
  <c r="F103" i="1"/>
  <c r="F162" i="1" s="1"/>
  <c r="F221" i="1" s="1"/>
  <c r="F280" i="1" s="1"/>
  <c r="F339" i="1" s="1"/>
  <c r="F398" i="1" s="1"/>
  <c r="F457" i="1" s="1"/>
  <c r="F516" i="1" s="1"/>
  <c r="F575" i="1" s="1"/>
  <c r="A104" i="1"/>
  <c r="A163" i="1" s="1"/>
  <c r="A222" i="1" s="1"/>
  <c r="A281" i="1" s="1"/>
  <c r="A340" i="1" s="1"/>
  <c r="A399" i="1" s="1"/>
  <c r="A458" i="1" s="1"/>
  <c r="A517" i="1" s="1"/>
  <c r="A576" i="1" s="1"/>
  <c r="B104" i="1"/>
  <c r="B163" i="1" s="1"/>
  <c r="B222" i="1" s="1"/>
  <c r="B281" i="1" s="1"/>
  <c r="B340" i="1" s="1"/>
  <c r="B399" i="1" s="1"/>
  <c r="B458" i="1" s="1"/>
  <c r="B517" i="1" s="1"/>
  <c r="B576" i="1" s="1"/>
  <c r="C104" i="1"/>
  <c r="C163" i="1" s="1"/>
  <c r="C222" i="1" s="1"/>
  <c r="C281" i="1" s="1"/>
  <c r="C340" i="1" s="1"/>
  <c r="C399" i="1" s="1"/>
  <c r="C458" i="1" s="1"/>
  <c r="C517" i="1" s="1"/>
  <c r="C576" i="1" s="1"/>
  <c r="D104" i="1"/>
  <c r="D163" i="1" s="1"/>
  <c r="D222" i="1" s="1"/>
  <c r="D281" i="1" s="1"/>
  <c r="D340" i="1" s="1"/>
  <c r="D399" i="1" s="1"/>
  <c r="D458" i="1" s="1"/>
  <c r="D517" i="1" s="1"/>
  <c r="D576" i="1" s="1"/>
  <c r="E104" i="1"/>
  <c r="E163" i="1" s="1"/>
  <c r="E222" i="1" s="1"/>
  <c r="E281" i="1" s="1"/>
  <c r="E340" i="1" s="1"/>
  <c r="E399" i="1" s="1"/>
  <c r="E458" i="1" s="1"/>
  <c r="E517" i="1" s="1"/>
  <c r="E576" i="1" s="1"/>
  <c r="F104" i="1"/>
  <c r="F163" i="1" s="1"/>
  <c r="F222" i="1" s="1"/>
  <c r="F281" i="1" s="1"/>
  <c r="F340" i="1" s="1"/>
  <c r="F399" i="1" s="1"/>
  <c r="F458" i="1" s="1"/>
  <c r="F517" i="1" s="1"/>
  <c r="F576" i="1" s="1"/>
  <c r="A105" i="1"/>
  <c r="A164" i="1" s="1"/>
  <c r="A223" i="1" s="1"/>
  <c r="A282" i="1" s="1"/>
  <c r="A341" i="1" s="1"/>
  <c r="A400" i="1" s="1"/>
  <c r="A459" i="1" s="1"/>
  <c r="A518" i="1" s="1"/>
  <c r="A577" i="1" s="1"/>
  <c r="B105" i="1"/>
  <c r="B164" i="1" s="1"/>
  <c r="B223" i="1" s="1"/>
  <c r="B282" i="1" s="1"/>
  <c r="B341" i="1" s="1"/>
  <c r="B400" i="1" s="1"/>
  <c r="B459" i="1" s="1"/>
  <c r="B518" i="1" s="1"/>
  <c r="B577" i="1" s="1"/>
  <c r="C105" i="1"/>
  <c r="C164" i="1" s="1"/>
  <c r="C223" i="1" s="1"/>
  <c r="C282" i="1" s="1"/>
  <c r="C341" i="1" s="1"/>
  <c r="C400" i="1" s="1"/>
  <c r="C459" i="1" s="1"/>
  <c r="C518" i="1" s="1"/>
  <c r="C577" i="1" s="1"/>
  <c r="D105" i="1"/>
  <c r="D164" i="1" s="1"/>
  <c r="D223" i="1" s="1"/>
  <c r="D282" i="1" s="1"/>
  <c r="D341" i="1" s="1"/>
  <c r="D400" i="1" s="1"/>
  <c r="D459" i="1" s="1"/>
  <c r="D518" i="1" s="1"/>
  <c r="D577" i="1" s="1"/>
  <c r="E105" i="1"/>
  <c r="E164" i="1" s="1"/>
  <c r="E223" i="1" s="1"/>
  <c r="E282" i="1" s="1"/>
  <c r="E341" i="1" s="1"/>
  <c r="E400" i="1" s="1"/>
  <c r="E459" i="1" s="1"/>
  <c r="E518" i="1" s="1"/>
  <c r="E577" i="1" s="1"/>
  <c r="F105" i="1"/>
  <c r="F164" i="1" s="1"/>
  <c r="F223" i="1" s="1"/>
  <c r="F282" i="1" s="1"/>
  <c r="F341" i="1" s="1"/>
  <c r="F400" i="1" s="1"/>
  <c r="F459" i="1" s="1"/>
  <c r="F518" i="1" s="1"/>
  <c r="F577" i="1" s="1"/>
  <c r="A106" i="1"/>
  <c r="A165" i="1" s="1"/>
  <c r="A224" i="1" s="1"/>
  <c r="A283" i="1" s="1"/>
  <c r="A342" i="1" s="1"/>
  <c r="A401" i="1" s="1"/>
  <c r="A460" i="1" s="1"/>
  <c r="A519" i="1" s="1"/>
  <c r="A578" i="1" s="1"/>
  <c r="B106" i="1"/>
  <c r="B165" i="1" s="1"/>
  <c r="B224" i="1" s="1"/>
  <c r="B283" i="1" s="1"/>
  <c r="B342" i="1" s="1"/>
  <c r="B401" i="1" s="1"/>
  <c r="B460" i="1" s="1"/>
  <c r="B519" i="1" s="1"/>
  <c r="B578" i="1" s="1"/>
  <c r="C106" i="1"/>
  <c r="C165" i="1" s="1"/>
  <c r="C224" i="1" s="1"/>
  <c r="C283" i="1" s="1"/>
  <c r="C342" i="1" s="1"/>
  <c r="C401" i="1" s="1"/>
  <c r="C460" i="1" s="1"/>
  <c r="C519" i="1" s="1"/>
  <c r="C578" i="1" s="1"/>
  <c r="D106" i="1"/>
  <c r="D165" i="1" s="1"/>
  <c r="D224" i="1" s="1"/>
  <c r="D283" i="1" s="1"/>
  <c r="D342" i="1" s="1"/>
  <c r="D401" i="1" s="1"/>
  <c r="D460" i="1" s="1"/>
  <c r="D519" i="1" s="1"/>
  <c r="D578" i="1" s="1"/>
  <c r="E106" i="1"/>
  <c r="E165" i="1" s="1"/>
  <c r="E224" i="1" s="1"/>
  <c r="E283" i="1" s="1"/>
  <c r="E342" i="1" s="1"/>
  <c r="E401" i="1" s="1"/>
  <c r="E460" i="1" s="1"/>
  <c r="E519" i="1" s="1"/>
  <c r="E578" i="1" s="1"/>
  <c r="F106" i="1"/>
  <c r="F165" i="1" s="1"/>
  <c r="F224" i="1" s="1"/>
  <c r="F283" i="1" s="1"/>
  <c r="F342" i="1" s="1"/>
  <c r="F401" i="1" s="1"/>
  <c r="F460" i="1" s="1"/>
  <c r="F519" i="1" s="1"/>
  <c r="F578" i="1" s="1"/>
  <c r="A107" i="1"/>
  <c r="A166" i="1" s="1"/>
  <c r="A225" i="1" s="1"/>
  <c r="A284" i="1" s="1"/>
  <c r="A343" i="1" s="1"/>
  <c r="A402" i="1" s="1"/>
  <c r="A461" i="1" s="1"/>
  <c r="A520" i="1" s="1"/>
  <c r="A579" i="1" s="1"/>
  <c r="B107" i="1"/>
  <c r="B166" i="1" s="1"/>
  <c r="B225" i="1" s="1"/>
  <c r="B284" i="1" s="1"/>
  <c r="B343" i="1" s="1"/>
  <c r="B402" i="1" s="1"/>
  <c r="B461" i="1" s="1"/>
  <c r="B520" i="1" s="1"/>
  <c r="B579" i="1" s="1"/>
  <c r="C107" i="1"/>
  <c r="C166" i="1" s="1"/>
  <c r="C225" i="1" s="1"/>
  <c r="C284" i="1" s="1"/>
  <c r="C343" i="1" s="1"/>
  <c r="C402" i="1" s="1"/>
  <c r="C461" i="1" s="1"/>
  <c r="C520" i="1" s="1"/>
  <c r="C579" i="1" s="1"/>
  <c r="D107" i="1"/>
  <c r="D166" i="1" s="1"/>
  <c r="D225" i="1" s="1"/>
  <c r="D284" i="1" s="1"/>
  <c r="D343" i="1" s="1"/>
  <c r="D402" i="1" s="1"/>
  <c r="D461" i="1" s="1"/>
  <c r="D520" i="1" s="1"/>
  <c r="D579" i="1" s="1"/>
  <c r="E107" i="1"/>
  <c r="E166" i="1" s="1"/>
  <c r="E225" i="1" s="1"/>
  <c r="E284" i="1" s="1"/>
  <c r="E343" i="1" s="1"/>
  <c r="E402" i="1" s="1"/>
  <c r="E461" i="1" s="1"/>
  <c r="E520" i="1" s="1"/>
  <c r="E579" i="1" s="1"/>
  <c r="F107" i="1"/>
  <c r="F166" i="1" s="1"/>
  <c r="F225" i="1" s="1"/>
  <c r="F284" i="1" s="1"/>
  <c r="F343" i="1" s="1"/>
  <c r="F402" i="1" s="1"/>
  <c r="F461" i="1" s="1"/>
  <c r="F520" i="1" s="1"/>
  <c r="F579" i="1" s="1"/>
  <c r="A108" i="1"/>
  <c r="A167" i="1" s="1"/>
  <c r="A226" i="1" s="1"/>
  <c r="A285" i="1" s="1"/>
  <c r="A344" i="1" s="1"/>
  <c r="A403" i="1" s="1"/>
  <c r="A462" i="1" s="1"/>
  <c r="A521" i="1" s="1"/>
  <c r="A580" i="1" s="1"/>
  <c r="B108" i="1"/>
  <c r="B167" i="1" s="1"/>
  <c r="B226" i="1" s="1"/>
  <c r="B285" i="1" s="1"/>
  <c r="B344" i="1" s="1"/>
  <c r="B403" i="1" s="1"/>
  <c r="B462" i="1" s="1"/>
  <c r="B521" i="1" s="1"/>
  <c r="B580" i="1" s="1"/>
  <c r="C108" i="1"/>
  <c r="C167" i="1" s="1"/>
  <c r="C226" i="1" s="1"/>
  <c r="C285" i="1" s="1"/>
  <c r="C344" i="1" s="1"/>
  <c r="C403" i="1" s="1"/>
  <c r="C462" i="1" s="1"/>
  <c r="C521" i="1" s="1"/>
  <c r="C580" i="1" s="1"/>
  <c r="D108" i="1"/>
  <c r="D167" i="1" s="1"/>
  <c r="D226" i="1" s="1"/>
  <c r="D285" i="1" s="1"/>
  <c r="D344" i="1" s="1"/>
  <c r="D403" i="1" s="1"/>
  <c r="D462" i="1" s="1"/>
  <c r="D521" i="1" s="1"/>
  <c r="D580" i="1" s="1"/>
  <c r="E108" i="1"/>
  <c r="E167" i="1" s="1"/>
  <c r="E226" i="1" s="1"/>
  <c r="E285" i="1" s="1"/>
  <c r="E344" i="1" s="1"/>
  <c r="E403" i="1" s="1"/>
  <c r="E462" i="1" s="1"/>
  <c r="E521" i="1" s="1"/>
  <c r="E580" i="1" s="1"/>
  <c r="F108" i="1"/>
  <c r="F167" i="1" s="1"/>
  <c r="F226" i="1" s="1"/>
  <c r="F285" i="1" s="1"/>
  <c r="F344" i="1" s="1"/>
  <c r="F403" i="1" s="1"/>
  <c r="F462" i="1" s="1"/>
  <c r="F521" i="1" s="1"/>
  <c r="F580" i="1" s="1"/>
  <c r="A109" i="1"/>
  <c r="A168" i="1" s="1"/>
  <c r="A227" i="1" s="1"/>
  <c r="A286" i="1" s="1"/>
  <c r="A345" i="1" s="1"/>
  <c r="A404" i="1" s="1"/>
  <c r="A463" i="1" s="1"/>
  <c r="A522" i="1" s="1"/>
  <c r="A581" i="1" s="1"/>
  <c r="B109" i="1"/>
  <c r="B168" i="1" s="1"/>
  <c r="B227" i="1" s="1"/>
  <c r="B286" i="1" s="1"/>
  <c r="B345" i="1" s="1"/>
  <c r="B404" i="1" s="1"/>
  <c r="B463" i="1" s="1"/>
  <c r="B522" i="1" s="1"/>
  <c r="B581" i="1" s="1"/>
  <c r="C109" i="1"/>
  <c r="C168" i="1" s="1"/>
  <c r="C227" i="1" s="1"/>
  <c r="C286" i="1" s="1"/>
  <c r="C345" i="1" s="1"/>
  <c r="C404" i="1" s="1"/>
  <c r="C463" i="1" s="1"/>
  <c r="C522" i="1" s="1"/>
  <c r="C581" i="1" s="1"/>
  <c r="D109" i="1"/>
  <c r="D168" i="1" s="1"/>
  <c r="D227" i="1" s="1"/>
  <c r="D286" i="1" s="1"/>
  <c r="D345" i="1" s="1"/>
  <c r="D404" i="1" s="1"/>
  <c r="D463" i="1" s="1"/>
  <c r="D522" i="1" s="1"/>
  <c r="D581" i="1" s="1"/>
  <c r="E109" i="1"/>
  <c r="E168" i="1" s="1"/>
  <c r="E227" i="1" s="1"/>
  <c r="E286" i="1" s="1"/>
  <c r="E345" i="1" s="1"/>
  <c r="E404" i="1" s="1"/>
  <c r="E463" i="1" s="1"/>
  <c r="E522" i="1" s="1"/>
  <c r="E581" i="1" s="1"/>
  <c r="F109" i="1"/>
  <c r="F168" i="1" s="1"/>
  <c r="F227" i="1" s="1"/>
  <c r="F286" i="1" s="1"/>
  <c r="F345" i="1" s="1"/>
  <c r="F404" i="1" s="1"/>
  <c r="F463" i="1" s="1"/>
  <c r="F522" i="1" s="1"/>
  <c r="F581" i="1" s="1"/>
  <c r="A110" i="1"/>
  <c r="A169" i="1" s="1"/>
  <c r="A228" i="1" s="1"/>
  <c r="A287" i="1" s="1"/>
  <c r="A346" i="1" s="1"/>
  <c r="A405" i="1" s="1"/>
  <c r="A464" i="1" s="1"/>
  <c r="A523" i="1" s="1"/>
  <c r="A582" i="1" s="1"/>
  <c r="B110" i="1"/>
  <c r="B169" i="1" s="1"/>
  <c r="B228" i="1" s="1"/>
  <c r="B287" i="1" s="1"/>
  <c r="B346" i="1" s="1"/>
  <c r="B405" i="1" s="1"/>
  <c r="B464" i="1" s="1"/>
  <c r="B523" i="1" s="1"/>
  <c r="B582" i="1" s="1"/>
  <c r="C110" i="1"/>
  <c r="C169" i="1" s="1"/>
  <c r="C228" i="1" s="1"/>
  <c r="C287" i="1" s="1"/>
  <c r="C346" i="1" s="1"/>
  <c r="C405" i="1" s="1"/>
  <c r="C464" i="1" s="1"/>
  <c r="C523" i="1" s="1"/>
  <c r="C582" i="1" s="1"/>
  <c r="D110" i="1"/>
  <c r="D169" i="1" s="1"/>
  <c r="D228" i="1" s="1"/>
  <c r="D287" i="1" s="1"/>
  <c r="D346" i="1" s="1"/>
  <c r="D405" i="1" s="1"/>
  <c r="D464" i="1" s="1"/>
  <c r="D523" i="1" s="1"/>
  <c r="D582" i="1" s="1"/>
  <c r="E110" i="1"/>
  <c r="E169" i="1" s="1"/>
  <c r="E228" i="1" s="1"/>
  <c r="E287" i="1" s="1"/>
  <c r="E346" i="1" s="1"/>
  <c r="E405" i="1" s="1"/>
  <c r="E464" i="1" s="1"/>
  <c r="E523" i="1" s="1"/>
  <c r="E582" i="1" s="1"/>
  <c r="F110" i="1"/>
  <c r="F169" i="1" s="1"/>
  <c r="F228" i="1" s="1"/>
  <c r="F287" i="1" s="1"/>
  <c r="F346" i="1" s="1"/>
  <c r="F405" i="1" s="1"/>
  <c r="F464" i="1" s="1"/>
  <c r="F523" i="1" s="1"/>
  <c r="F582" i="1" s="1"/>
  <c r="A111" i="1"/>
  <c r="A170" i="1" s="1"/>
  <c r="A229" i="1" s="1"/>
  <c r="A288" i="1" s="1"/>
  <c r="A347" i="1" s="1"/>
  <c r="A406" i="1" s="1"/>
  <c r="A465" i="1" s="1"/>
  <c r="A524" i="1" s="1"/>
  <c r="A583" i="1" s="1"/>
  <c r="B111" i="1"/>
  <c r="B170" i="1" s="1"/>
  <c r="B229" i="1" s="1"/>
  <c r="B288" i="1" s="1"/>
  <c r="B347" i="1" s="1"/>
  <c r="B406" i="1" s="1"/>
  <c r="B465" i="1" s="1"/>
  <c r="B524" i="1" s="1"/>
  <c r="B583" i="1" s="1"/>
  <c r="C111" i="1"/>
  <c r="C170" i="1" s="1"/>
  <c r="C229" i="1" s="1"/>
  <c r="C288" i="1" s="1"/>
  <c r="C347" i="1" s="1"/>
  <c r="C406" i="1" s="1"/>
  <c r="C465" i="1" s="1"/>
  <c r="C524" i="1" s="1"/>
  <c r="C583" i="1" s="1"/>
  <c r="D111" i="1"/>
  <c r="D170" i="1" s="1"/>
  <c r="D229" i="1" s="1"/>
  <c r="D288" i="1" s="1"/>
  <c r="D347" i="1" s="1"/>
  <c r="D406" i="1" s="1"/>
  <c r="D465" i="1" s="1"/>
  <c r="D524" i="1" s="1"/>
  <c r="D583" i="1" s="1"/>
  <c r="E111" i="1"/>
  <c r="E170" i="1" s="1"/>
  <c r="E229" i="1" s="1"/>
  <c r="E288" i="1" s="1"/>
  <c r="E347" i="1" s="1"/>
  <c r="E406" i="1" s="1"/>
  <c r="E465" i="1" s="1"/>
  <c r="E524" i="1" s="1"/>
  <c r="E583" i="1" s="1"/>
  <c r="F111" i="1"/>
  <c r="F170" i="1" s="1"/>
  <c r="F229" i="1" s="1"/>
  <c r="F288" i="1" s="1"/>
  <c r="F347" i="1" s="1"/>
  <c r="F406" i="1" s="1"/>
  <c r="F465" i="1" s="1"/>
  <c r="F524" i="1" s="1"/>
  <c r="F583" i="1" s="1"/>
  <c r="A112" i="1"/>
  <c r="A171" i="1" s="1"/>
  <c r="A230" i="1" s="1"/>
  <c r="A289" i="1" s="1"/>
  <c r="A348" i="1" s="1"/>
  <c r="A407" i="1" s="1"/>
  <c r="A466" i="1" s="1"/>
  <c r="A525" i="1" s="1"/>
  <c r="A584" i="1" s="1"/>
  <c r="B112" i="1"/>
  <c r="B171" i="1" s="1"/>
  <c r="B230" i="1" s="1"/>
  <c r="B289" i="1" s="1"/>
  <c r="B348" i="1" s="1"/>
  <c r="B407" i="1" s="1"/>
  <c r="B466" i="1" s="1"/>
  <c r="B525" i="1" s="1"/>
  <c r="B584" i="1" s="1"/>
  <c r="C112" i="1"/>
  <c r="C171" i="1" s="1"/>
  <c r="C230" i="1" s="1"/>
  <c r="C289" i="1" s="1"/>
  <c r="C348" i="1" s="1"/>
  <c r="C407" i="1" s="1"/>
  <c r="C466" i="1" s="1"/>
  <c r="C525" i="1" s="1"/>
  <c r="C584" i="1" s="1"/>
  <c r="D112" i="1"/>
  <c r="D171" i="1" s="1"/>
  <c r="D230" i="1" s="1"/>
  <c r="D289" i="1" s="1"/>
  <c r="D348" i="1" s="1"/>
  <c r="D407" i="1" s="1"/>
  <c r="D466" i="1" s="1"/>
  <c r="D525" i="1" s="1"/>
  <c r="D584" i="1" s="1"/>
  <c r="E112" i="1"/>
  <c r="E171" i="1" s="1"/>
  <c r="E230" i="1" s="1"/>
  <c r="E289" i="1" s="1"/>
  <c r="E348" i="1" s="1"/>
  <c r="E407" i="1" s="1"/>
  <c r="E466" i="1" s="1"/>
  <c r="E525" i="1" s="1"/>
  <c r="E584" i="1" s="1"/>
  <c r="F112" i="1"/>
  <c r="F171" i="1" s="1"/>
  <c r="F230" i="1" s="1"/>
  <c r="F289" i="1" s="1"/>
  <c r="F348" i="1" s="1"/>
  <c r="F407" i="1" s="1"/>
  <c r="F466" i="1" s="1"/>
  <c r="F525" i="1" s="1"/>
  <c r="F584" i="1" s="1"/>
  <c r="A113" i="1"/>
  <c r="A172" i="1" s="1"/>
  <c r="A231" i="1" s="1"/>
  <c r="A290" i="1" s="1"/>
  <c r="A349" i="1" s="1"/>
  <c r="A408" i="1" s="1"/>
  <c r="A467" i="1" s="1"/>
  <c r="A526" i="1" s="1"/>
  <c r="A585" i="1" s="1"/>
  <c r="B113" i="1"/>
  <c r="B172" i="1" s="1"/>
  <c r="B231" i="1" s="1"/>
  <c r="B290" i="1" s="1"/>
  <c r="B349" i="1" s="1"/>
  <c r="B408" i="1" s="1"/>
  <c r="B467" i="1" s="1"/>
  <c r="B526" i="1" s="1"/>
  <c r="B585" i="1" s="1"/>
  <c r="C113" i="1"/>
  <c r="C172" i="1" s="1"/>
  <c r="C231" i="1" s="1"/>
  <c r="C290" i="1" s="1"/>
  <c r="C349" i="1" s="1"/>
  <c r="C408" i="1" s="1"/>
  <c r="C467" i="1" s="1"/>
  <c r="C526" i="1" s="1"/>
  <c r="C585" i="1" s="1"/>
  <c r="D113" i="1"/>
  <c r="D172" i="1" s="1"/>
  <c r="D231" i="1" s="1"/>
  <c r="D290" i="1" s="1"/>
  <c r="D349" i="1" s="1"/>
  <c r="D408" i="1" s="1"/>
  <c r="D467" i="1" s="1"/>
  <c r="D526" i="1" s="1"/>
  <c r="D585" i="1" s="1"/>
  <c r="E113" i="1"/>
  <c r="E172" i="1" s="1"/>
  <c r="E231" i="1" s="1"/>
  <c r="E290" i="1" s="1"/>
  <c r="E349" i="1" s="1"/>
  <c r="E408" i="1" s="1"/>
  <c r="E467" i="1" s="1"/>
  <c r="E526" i="1" s="1"/>
  <c r="E585" i="1" s="1"/>
  <c r="F113" i="1"/>
  <c r="F172" i="1" s="1"/>
  <c r="F231" i="1" s="1"/>
  <c r="F290" i="1" s="1"/>
  <c r="F349" i="1" s="1"/>
  <c r="F408" i="1" s="1"/>
  <c r="F467" i="1" s="1"/>
  <c r="F526" i="1" s="1"/>
  <c r="F585" i="1" s="1"/>
  <c r="A114" i="1"/>
  <c r="A173" i="1" s="1"/>
  <c r="A232" i="1" s="1"/>
  <c r="A291" i="1" s="1"/>
  <c r="A350" i="1" s="1"/>
  <c r="A409" i="1" s="1"/>
  <c r="A468" i="1" s="1"/>
  <c r="A527" i="1" s="1"/>
  <c r="A586" i="1" s="1"/>
  <c r="B114" i="1"/>
  <c r="B173" i="1" s="1"/>
  <c r="B232" i="1" s="1"/>
  <c r="B291" i="1" s="1"/>
  <c r="B350" i="1" s="1"/>
  <c r="B409" i="1" s="1"/>
  <c r="B468" i="1" s="1"/>
  <c r="B527" i="1" s="1"/>
  <c r="B586" i="1" s="1"/>
  <c r="C114" i="1"/>
  <c r="C173" i="1" s="1"/>
  <c r="C232" i="1" s="1"/>
  <c r="C291" i="1" s="1"/>
  <c r="C350" i="1" s="1"/>
  <c r="C409" i="1" s="1"/>
  <c r="C468" i="1" s="1"/>
  <c r="C527" i="1" s="1"/>
  <c r="C586" i="1" s="1"/>
  <c r="D114" i="1"/>
  <c r="D173" i="1" s="1"/>
  <c r="D232" i="1" s="1"/>
  <c r="D291" i="1" s="1"/>
  <c r="D350" i="1" s="1"/>
  <c r="D409" i="1" s="1"/>
  <c r="D468" i="1" s="1"/>
  <c r="D527" i="1" s="1"/>
  <c r="D586" i="1" s="1"/>
  <c r="E114" i="1"/>
  <c r="E173" i="1" s="1"/>
  <c r="E232" i="1" s="1"/>
  <c r="E291" i="1" s="1"/>
  <c r="E350" i="1" s="1"/>
  <c r="E409" i="1" s="1"/>
  <c r="E468" i="1" s="1"/>
  <c r="E527" i="1" s="1"/>
  <c r="E586" i="1" s="1"/>
  <c r="F114" i="1"/>
  <c r="F173" i="1" s="1"/>
  <c r="F232" i="1" s="1"/>
  <c r="F291" i="1" s="1"/>
  <c r="F350" i="1" s="1"/>
  <c r="F409" i="1" s="1"/>
  <c r="F468" i="1" s="1"/>
  <c r="F527" i="1" s="1"/>
  <c r="F586" i="1" s="1"/>
  <c r="A115" i="1"/>
  <c r="A174" i="1" s="1"/>
  <c r="A233" i="1" s="1"/>
  <c r="A292" i="1" s="1"/>
  <c r="A351" i="1" s="1"/>
  <c r="A410" i="1" s="1"/>
  <c r="A469" i="1" s="1"/>
  <c r="A528" i="1" s="1"/>
  <c r="A587" i="1" s="1"/>
  <c r="B115" i="1"/>
  <c r="B174" i="1" s="1"/>
  <c r="B233" i="1" s="1"/>
  <c r="B292" i="1" s="1"/>
  <c r="B351" i="1" s="1"/>
  <c r="B410" i="1" s="1"/>
  <c r="B469" i="1" s="1"/>
  <c r="B528" i="1" s="1"/>
  <c r="B587" i="1" s="1"/>
  <c r="C115" i="1"/>
  <c r="C174" i="1" s="1"/>
  <c r="C233" i="1" s="1"/>
  <c r="C292" i="1" s="1"/>
  <c r="C351" i="1" s="1"/>
  <c r="C410" i="1" s="1"/>
  <c r="C469" i="1" s="1"/>
  <c r="C528" i="1" s="1"/>
  <c r="C587" i="1" s="1"/>
  <c r="D115" i="1"/>
  <c r="D174" i="1" s="1"/>
  <c r="D233" i="1" s="1"/>
  <c r="D292" i="1" s="1"/>
  <c r="D351" i="1" s="1"/>
  <c r="D410" i="1" s="1"/>
  <c r="D469" i="1" s="1"/>
  <c r="D528" i="1" s="1"/>
  <c r="D587" i="1" s="1"/>
  <c r="E115" i="1"/>
  <c r="E174" i="1" s="1"/>
  <c r="E233" i="1" s="1"/>
  <c r="E292" i="1" s="1"/>
  <c r="E351" i="1" s="1"/>
  <c r="E410" i="1" s="1"/>
  <c r="E469" i="1" s="1"/>
  <c r="E528" i="1" s="1"/>
  <c r="E587" i="1" s="1"/>
  <c r="F115" i="1"/>
  <c r="F174" i="1" s="1"/>
  <c r="F233" i="1" s="1"/>
  <c r="F292" i="1" s="1"/>
  <c r="F351" i="1" s="1"/>
  <c r="F410" i="1" s="1"/>
  <c r="F469" i="1" s="1"/>
  <c r="F528" i="1" s="1"/>
  <c r="F587" i="1" s="1"/>
  <c r="A116" i="1"/>
  <c r="A175" i="1" s="1"/>
  <c r="A234" i="1" s="1"/>
  <c r="A293" i="1" s="1"/>
  <c r="A352" i="1" s="1"/>
  <c r="A411" i="1" s="1"/>
  <c r="A470" i="1" s="1"/>
  <c r="A529" i="1" s="1"/>
  <c r="A588" i="1" s="1"/>
  <c r="B116" i="1"/>
  <c r="B175" i="1" s="1"/>
  <c r="B234" i="1" s="1"/>
  <c r="B293" i="1" s="1"/>
  <c r="B352" i="1" s="1"/>
  <c r="B411" i="1" s="1"/>
  <c r="B470" i="1" s="1"/>
  <c r="B529" i="1" s="1"/>
  <c r="B588" i="1" s="1"/>
  <c r="C116" i="1"/>
  <c r="C175" i="1" s="1"/>
  <c r="C234" i="1" s="1"/>
  <c r="C293" i="1" s="1"/>
  <c r="C352" i="1" s="1"/>
  <c r="C411" i="1" s="1"/>
  <c r="C470" i="1" s="1"/>
  <c r="C529" i="1" s="1"/>
  <c r="C588" i="1" s="1"/>
  <c r="D116" i="1"/>
  <c r="D175" i="1" s="1"/>
  <c r="D234" i="1" s="1"/>
  <c r="D293" i="1" s="1"/>
  <c r="D352" i="1" s="1"/>
  <c r="D411" i="1" s="1"/>
  <c r="D470" i="1" s="1"/>
  <c r="D529" i="1" s="1"/>
  <c r="D588" i="1" s="1"/>
  <c r="E116" i="1"/>
  <c r="E175" i="1" s="1"/>
  <c r="E234" i="1" s="1"/>
  <c r="E293" i="1" s="1"/>
  <c r="E352" i="1" s="1"/>
  <c r="E411" i="1" s="1"/>
  <c r="E470" i="1" s="1"/>
  <c r="E529" i="1" s="1"/>
  <c r="E588" i="1" s="1"/>
  <c r="F116" i="1"/>
  <c r="F175" i="1" s="1"/>
  <c r="F234" i="1" s="1"/>
  <c r="F293" i="1" s="1"/>
  <c r="F352" i="1" s="1"/>
  <c r="F411" i="1" s="1"/>
  <c r="F470" i="1" s="1"/>
  <c r="F529" i="1" s="1"/>
  <c r="F588" i="1" s="1"/>
  <c r="A117" i="1"/>
  <c r="A176" i="1" s="1"/>
  <c r="A235" i="1" s="1"/>
  <c r="A294" i="1" s="1"/>
  <c r="A353" i="1" s="1"/>
  <c r="A412" i="1" s="1"/>
  <c r="A471" i="1" s="1"/>
  <c r="A530" i="1" s="1"/>
  <c r="A589" i="1" s="1"/>
  <c r="B117" i="1"/>
  <c r="B176" i="1" s="1"/>
  <c r="B235" i="1" s="1"/>
  <c r="B294" i="1" s="1"/>
  <c r="B353" i="1" s="1"/>
  <c r="B412" i="1" s="1"/>
  <c r="B471" i="1" s="1"/>
  <c r="B530" i="1" s="1"/>
  <c r="B589" i="1" s="1"/>
  <c r="C117" i="1"/>
  <c r="C176" i="1" s="1"/>
  <c r="C235" i="1" s="1"/>
  <c r="C294" i="1" s="1"/>
  <c r="C353" i="1" s="1"/>
  <c r="C412" i="1" s="1"/>
  <c r="C471" i="1" s="1"/>
  <c r="C530" i="1" s="1"/>
  <c r="C589" i="1" s="1"/>
  <c r="D117" i="1"/>
  <c r="D176" i="1" s="1"/>
  <c r="D235" i="1" s="1"/>
  <c r="D294" i="1" s="1"/>
  <c r="D353" i="1" s="1"/>
  <c r="D412" i="1" s="1"/>
  <c r="D471" i="1" s="1"/>
  <c r="D530" i="1" s="1"/>
  <c r="D589" i="1" s="1"/>
  <c r="E117" i="1"/>
  <c r="E176" i="1" s="1"/>
  <c r="E235" i="1" s="1"/>
  <c r="E294" i="1" s="1"/>
  <c r="E353" i="1" s="1"/>
  <c r="E412" i="1" s="1"/>
  <c r="E471" i="1" s="1"/>
  <c r="E530" i="1" s="1"/>
  <c r="E589" i="1" s="1"/>
  <c r="F117" i="1"/>
  <c r="F176" i="1" s="1"/>
  <c r="F235" i="1" s="1"/>
  <c r="F294" i="1" s="1"/>
  <c r="F353" i="1" s="1"/>
  <c r="F412" i="1" s="1"/>
  <c r="F471" i="1" s="1"/>
  <c r="F530" i="1" s="1"/>
  <c r="F589" i="1" s="1"/>
  <c r="A118" i="1"/>
  <c r="A177" i="1" s="1"/>
  <c r="A236" i="1" s="1"/>
  <c r="A295" i="1" s="1"/>
  <c r="A354" i="1" s="1"/>
  <c r="A413" i="1" s="1"/>
  <c r="A472" i="1" s="1"/>
  <c r="A531" i="1" s="1"/>
  <c r="A590" i="1" s="1"/>
  <c r="B118" i="1"/>
  <c r="B177" i="1" s="1"/>
  <c r="B236" i="1" s="1"/>
  <c r="B295" i="1" s="1"/>
  <c r="B354" i="1" s="1"/>
  <c r="B413" i="1" s="1"/>
  <c r="B472" i="1" s="1"/>
  <c r="B531" i="1" s="1"/>
  <c r="B590" i="1" s="1"/>
  <c r="C118" i="1"/>
  <c r="C177" i="1" s="1"/>
  <c r="C236" i="1" s="1"/>
  <c r="C295" i="1" s="1"/>
  <c r="C354" i="1" s="1"/>
  <c r="C413" i="1" s="1"/>
  <c r="C472" i="1" s="1"/>
  <c r="C531" i="1" s="1"/>
  <c r="C590" i="1" s="1"/>
  <c r="D118" i="1"/>
  <c r="D177" i="1" s="1"/>
  <c r="D236" i="1" s="1"/>
  <c r="D295" i="1" s="1"/>
  <c r="D354" i="1" s="1"/>
  <c r="D413" i="1" s="1"/>
  <c r="D472" i="1" s="1"/>
  <c r="D531" i="1" s="1"/>
  <c r="D590" i="1" s="1"/>
  <c r="E118" i="1"/>
  <c r="E177" i="1" s="1"/>
  <c r="E236" i="1" s="1"/>
  <c r="E295" i="1" s="1"/>
  <c r="E354" i="1" s="1"/>
  <c r="E413" i="1" s="1"/>
  <c r="E472" i="1" s="1"/>
  <c r="E531" i="1" s="1"/>
  <c r="E590" i="1" s="1"/>
  <c r="F118" i="1"/>
  <c r="F177" i="1" s="1"/>
  <c r="F236" i="1" s="1"/>
  <c r="F295" i="1" s="1"/>
  <c r="F354" i="1" s="1"/>
  <c r="F413" i="1" s="1"/>
  <c r="F472" i="1" s="1"/>
  <c r="F531" i="1" s="1"/>
  <c r="F590" i="1" s="1"/>
  <c r="A119" i="1"/>
  <c r="A178" i="1" s="1"/>
  <c r="A237" i="1" s="1"/>
  <c r="A296" i="1" s="1"/>
  <c r="A355" i="1" s="1"/>
  <c r="A414" i="1" s="1"/>
  <c r="A473" i="1" s="1"/>
  <c r="A532" i="1" s="1"/>
  <c r="A591" i="1" s="1"/>
  <c r="B119" i="1"/>
  <c r="B178" i="1" s="1"/>
  <c r="B237" i="1" s="1"/>
  <c r="B296" i="1" s="1"/>
  <c r="B355" i="1" s="1"/>
  <c r="B414" i="1" s="1"/>
  <c r="B473" i="1" s="1"/>
  <c r="B532" i="1" s="1"/>
  <c r="B591" i="1" s="1"/>
  <c r="C119" i="1"/>
  <c r="C178" i="1" s="1"/>
  <c r="C237" i="1" s="1"/>
  <c r="C296" i="1" s="1"/>
  <c r="C355" i="1" s="1"/>
  <c r="C414" i="1" s="1"/>
  <c r="C473" i="1" s="1"/>
  <c r="C532" i="1" s="1"/>
  <c r="C591" i="1" s="1"/>
  <c r="D119" i="1"/>
  <c r="D178" i="1" s="1"/>
  <c r="D237" i="1" s="1"/>
  <c r="D296" i="1" s="1"/>
  <c r="D355" i="1" s="1"/>
  <c r="D414" i="1" s="1"/>
  <c r="D473" i="1" s="1"/>
  <c r="D532" i="1" s="1"/>
  <c r="D591" i="1" s="1"/>
  <c r="E119" i="1"/>
  <c r="E178" i="1" s="1"/>
  <c r="E237" i="1" s="1"/>
  <c r="E296" i="1" s="1"/>
  <c r="E355" i="1" s="1"/>
  <c r="E414" i="1" s="1"/>
  <c r="E473" i="1" s="1"/>
  <c r="E532" i="1" s="1"/>
  <c r="E591" i="1" s="1"/>
  <c r="F119" i="1"/>
  <c r="F178" i="1" s="1"/>
  <c r="F237" i="1" s="1"/>
  <c r="F296" i="1" s="1"/>
  <c r="F355" i="1" s="1"/>
  <c r="F414" i="1" s="1"/>
  <c r="F473" i="1" s="1"/>
  <c r="F532" i="1" s="1"/>
  <c r="F591" i="1" s="1"/>
  <c r="A61" i="1"/>
  <c r="A120" i="1" s="1"/>
  <c r="A179" i="1" s="1"/>
  <c r="A238" i="1" s="1"/>
  <c r="A297" i="1" s="1"/>
  <c r="A356" i="1" s="1"/>
  <c r="A415" i="1" s="1"/>
  <c r="A474" i="1" s="1"/>
  <c r="A533" i="1" s="1"/>
  <c r="B61" i="1"/>
  <c r="B120" i="1" s="1"/>
  <c r="B179" i="1" s="1"/>
  <c r="B238" i="1" s="1"/>
  <c r="B297" i="1" s="1"/>
  <c r="B356" i="1" s="1"/>
  <c r="B415" i="1" s="1"/>
  <c r="B474" i="1" s="1"/>
  <c r="B533" i="1" s="1"/>
  <c r="C61" i="1"/>
  <c r="C120" i="1" s="1"/>
  <c r="C179" i="1" s="1"/>
  <c r="C238" i="1" s="1"/>
  <c r="C297" i="1" s="1"/>
  <c r="C356" i="1" s="1"/>
  <c r="C415" i="1" s="1"/>
  <c r="C474" i="1" s="1"/>
  <c r="C533" i="1" s="1"/>
  <c r="D61" i="1"/>
  <c r="D120" i="1" s="1"/>
  <c r="D179" i="1" s="1"/>
  <c r="D238" i="1" s="1"/>
  <c r="D297" i="1" s="1"/>
  <c r="D356" i="1" s="1"/>
  <c r="D415" i="1" s="1"/>
  <c r="D474" i="1" s="1"/>
  <c r="D533" i="1" s="1"/>
  <c r="E61" i="1"/>
  <c r="E120" i="1" s="1"/>
  <c r="E179" i="1" s="1"/>
  <c r="E238" i="1" s="1"/>
  <c r="E297" i="1" s="1"/>
  <c r="E356" i="1" s="1"/>
  <c r="E415" i="1" s="1"/>
  <c r="E474" i="1" s="1"/>
  <c r="E533" i="1" s="1"/>
  <c r="F61" i="1"/>
  <c r="F120" i="1" s="1"/>
  <c r="F179" i="1" s="1"/>
  <c r="F238" i="1" s="1"/>
  <c r="F297" i="1" s="1"/>
  <c r="F356" i="1" s="1"/>
  <c r="F415" i="1" s="1"/>
  <c r="F474" i="1" s="1"/>
  <c r="F533" i="1" s="1"/>
  <c r="W62" i="2" l="1"/>
  <c r="X62" i="2"/>
  <c r="Y62" i="2"/>
  <c r="Z62" i="2"/>
  <c r="AA62" i="2"/>
  <c r="N62" i="1"/>
  <c r="O54" i="1"/>
  <c r="O34" i="1"/>
  <c r="O14" i="1"/>
  <c r="O60" i="1"/>
  <c r="O40" i="1"/>
  <c r="O20" i="1"/>
  <c r="O46" i="1"/>
  <c r="O26" i="1"/>
  <c r="O6" i="1"/>
  <c r="O59" i="1"/>
  <c r="O39" i="1"/>
  <c r="O19" i="1"/>
  <c r="O45" i="1"/>
  <c r="O25" i="1"/>
  <c r="O5" i="1"/>
  <c r="O58" i="1"/>
  <c r="O38" i="1"/>
  <c r="O18" i="1"/>
  <c r="O51" i="1"/>
  <c r="O31" i="1"/>
  <c r="O11" i="1"/>
  <c r="O3" i="1"/>
  <c r="O42" i="1"/>
  <c r="O22" i="1"/>
  <c r="O2" i="1"/>
  <c r="O55" i="1"/>
  <c r="O35" i="1"/>
  <c r="O15" i="1"/>
  <c r="P109" i="2"/>
  <c r="P63" i="2"/>
  <c r="P74" i="2"/>
  <c r="P100" i="2"/>
  <c r="P75" i="2"/>
  <c r="P95" i="2"/>
  <c r="P92" i="2"/>
  <c r="P89" i="2"/>
  <c r="P99" i="2"/>
  <c r="P97" i="2"/>
  <c r="E156" i="2"/>
  <c r="E215" i="2" s="1"/>
  <c r="E274" i="2" s="1"/>
  <c r="E333" i="2" s="1"/>
  <c r="E392" i="2" s="1"/>
  <c r="E451" i="2" s="1"/>
  <c r="E510" i="2" s="1"/>
  <c r="E569" i="2" s="1"/>
  <c r="P68" i="2"/>
  <c r="P76" i="2"/>
  <c r="P105" i="2"/>
  <c r="P86" i="2"/>
  <c r="P168" i="2"/>
  <c r="P112" i="2"/>
  <c r="P146" i="2"/>
  <c r="P77" i="2"/>
  <c r="D236" i="2"/>
  <c r="D295" i="2" s="1"/>
  <c r="P177" i="2"/>
  <c r="P159" i="2"/>
  <c r="E218" i="2"/>
  <c r="E277" i="2" s="1"/>
  <c r="E336" i="2" s="1"/>
  <c r="E395" i="2" s="1"/>
  <c r="E454" i="2" s="1"/>
  <c r="E513" i="2" s="1"/>
  <c r="E572" i="2" s="1"/>
  <c r="P83" i="2"/>
  <c r="E133" i="2"/>
  <c r="E192" i="2" s="1"/>
  <c r="E251" i="2" s="1"/>
  <c r="E310" i="2" s="1"/>
  <c r="E369" i="2" s="1"/>
  <c r="E428" i="2" s="1"/>
  <c r="E487" i="2" s="1"/>
  <c r="E546" i="2" s="1"/>
  <c r="P80" i="2"/>
  <c r="D205" i="2"/>
  <c r="P61" i="2"/>
  <c r="P207" i="2"/>
  <c r="P65" i="2"/>
  <c r="P78" i="2"/>
  <c r="P87" i="2"/>
  <c r="P90" i="2"/>
  <c r="P93" i="2"/>
  <c r="P96" i="2"/>
  <c r="P106" i="2"/>
  <c r="P119" i="2"/>
  <c r="P148" i="2"/>
  <c r="P85" i="2"/>
  <c r="P88" i="2"/>
  <c r="P209" i="2"/>
  <c r="P94" i="2"/>
  <c r="P149" i="2"/>
  <c r="P128" i="2"/>
  <c r="P113" i="2"/>
  <c r="P110" i="2"/>
  <c r="P117" i="2"/>
  <c r="E122" i="2"/>
  <c r="E181" i="2" s="1"/>
  <c r="E240" i="2" s="1"/>
  <c r="E299" i="2" s="1"/>
  <c r="E358" i="2" s="1"/>
  <c r="E417" i="2" s="1"/>
  <c r="E476" i="2" s="1"/>
  <c r="E535" i="2" s="1"/>
  <c r="P169" i="2"/>
  <c r="P114" i="2"/>
  <c r="D153" i="2"/>
  <c r="D212" i="2" s="1"/>
  <c r="P108" i="2"/>
  <c r="P111" i="2"/>
  <c r="D289" i="2"/>
  <c r="P230" i="2"/>
  <c r="D186" i="2"/>
  <c r="P127" i="2"/>
  <c r="P143" i="2"/>
  <c r="D202" i="2"/>
  <c r="E292" i="2"/>
  <c r="E351" i="2" s="1"/>
  <c r="E410" i="2" s="1"/>
  <c r="E469" i="2" s="1"/>
  <c r="E528" i="2" s="1"/>
  <c r="E587" i="2" s="1"/>
  <c r="P233" i="2"/>
  <c r="D224" i="2"/>
  <c r="P165" i="2"/>
  <c r="P141" i="2"/>
  <c r="D200" i="2"/>
  <c r="D197" i="2"/>
  <c r="P138" i="2"/>
  <c r="D345" i="2"/>
  <c r="P286" i="2"/>
  <c r="P154" i="2"/>
  <c r="D213" i="2"/>
  <c r="D247" i="2"/>
  <c r="P188" i="2"/>
  <c r="P241" i="2"/>
  <c r="D300" i="2"/>
  <c r="P132" i="2"/>
  <c r="P103" i="2"/>
  <c r="E162" i="2"/>
  <c r="E221" i="2" s="1"/>
  <c r="E280" i="2" s="1"/>
  <c r="E339" i="2" s="1"/>
  <c r="E398" i="2" s="1"/>
  <c r="E457" i="2" s="1"/>
  <c r="E516" i="2" s="1"/>
  <c r="E575" i="2" s="1"/>
  <c r="D274" i="2"/>
  <c r="P172" i="2"/>
  <c r="D231" i="2"/>
  <c r="P178" i="2"/>
  <c r="D237" i="2"/>
  <c r="P201" i="2"/>
  <c r="P118" i="2"/>
  <c r="P144" i="2"/>
  <c r="D203" i="2"/>
  <c r="P115" i="2"/>
  <c r="P185" i="2"/>
  <c r="P62" i="2"/>
  <c r="P64" i="2"/>
  <c r="P67" i="2"/>
  <c r="P79" i="2"/>
  <c r="P82" i="2"/>
  <c r="P123" i="2"/>
  <c r="P139" i="2"/>
  <c r="P150" i="2"/>
  <c r="D303" i="2"/>
  <c r="P244" i="2"/>
  <c r="P70" i="2"/>
  <c r="P73" i="2"/>
  <c r="P129" i="2"/>
  <c r="D134" i="2"/>
  <c r="P204" i="2"/>
  <c r="D263" i="2"/>
  <c r="D167" i="2"/>
  <c r="D173" i="2"/>
  <c r="P91" i="2"/>
  <c r="D225" i="2"/>
  <c r="P166" i="2"/>
  <c r="D287" i="2"/>
  <c r="P228" i="2"/>
  <c r="D221" i="2"/>
  <c r="D260" i="2"/>
  <c r="P104" i="2"/>
  <c r="D135" i="2"/>
  <c r="P145" i="2"/>
  <c r="D183" i="2"/>
  <c r="P124" i="2"/>
  <c r="D340" i="2"/>
  <c r="P281" i="2"/>
  <c r="P273" i="2"/>
  <c r="D332" i="2"/>
  <c r="P121" i="2"/>
  <c r="D180" i="2"/>
  <c r="P155" i="2"/>
  <c r="D130" i="2"/>
  <c r="P71" i="2"/>
  <c r="D325" i="2"/>
  <c r="P266" i="2"/>
  <c r="P101" i="2"/>
  <c r="D160" i="2"/>
  <c r="P107" i="2"/>
  <c r="P163" i="2"/>
  <c r="D187" i="2"/>
  <c r="D210" i="2"/>
  <c r="P151" i="2"/>
  <c r="D157" i="2"/>
  <c r="P98" i="2"/>
  <c r="P116" i="2"/>
  <c r="P152" i="2"/>
  <c r="D158" i="2"/>
  <c r="P227" i="2"/>
  <c r="P174" i="2"/>
  <c r="P222" i="2"/>
  <c r="P125" i="2"/>
  <c r="D351" i="2"/>
  <c r="D195" i="2"/>
  <c r="P136" i="2"/>
  <c r="D164" i="2"/>
  <c r="P243" i="2"/>
  <c r="D302" i="2"/>
  <c r="P81" i="2"/>
  <c r="D140" i="2"/>
  <c r="P102" i="2"/>
  <c r="D161" i="2"/>
  <c r="P126" i="2"/>
  <c r="D196" i="2"/>
  <c r="P137" i="2"/>
  <c r="P182" i="2"/>
  <c r="P198" i="2"/>
  <c r="D257" i="2"/>
  <c r="D267" i="2"/>
  <c r="P208" i="2"/>
  <c r="D229" i="2"/>
  <c r="P170" i="2"/>
  <c r="D190" i="2"/>
  <c r="P131" i="2"/>
  <c r="P66" i="2"/>
  <c r="D270" i="2"/>
  <c r="P211" i="2"/>
  <c r="P214" i="2"/>
  <c r="P69" i="2"/>
  <c r="P72" i="2"/>
  <c r="P84" i="2"/>
  <c r="D268" i="2"/>
  <c r="D181" i="2"/>
  <c r="P171" i="2"/>
  <c r="P184" i="2"/>
  <c r="D191" i="2"/>
  <c r="D147" i="2"/>
  <c r="P238" i="2"/>
  <c r="D251" i="2"/>
  <c r="P297" i="2"/>
  <c r="D356" i="2"/>
  <c r="D277" i="2"/>
  <c r="P179" i="2"/>
  <c r="P120" i="2"/>
  <c r="D176" i="2"/>
  <c r="D234" i="2"/>
  <c r="P175" i="2"/>
  <c r="P142" i="2"/>
  <c r="X62" i="1"/>
  <c r="W62" i="1"/>
  <c r="T62" i="1"/>
  <c r="U62" i="1"/>
  <c r="V62" i="1"/>
  <c r="O62" i="1" l="1"/>
  <c r="P156" i="2"/>
  <c r="P133" i="2"/>
  <c r="P218" i="2"/>
  <c r="P292" i="2"/>
  <c r="P215" i="2"/>
  <c r="P236" i="2"/>
  <c r="P153" i="2"/>
  <c r="P122" i="2"/>
  <c r="D264" i="2"/>
  <c r="P205" i="2"/>
  <c r="P162" i="2"/>
  <c r="P192" i="2"/>
  <c r="P158" i="2"/>
  <c r="D217" i="2"/>
  <c r="D293" i="2"/>
  <c r="P234" i="2"/>
  <c r="D284" i="2"/>
  <c r="P225" i="2"/>
  <c r="D306" i="2"/>
  <c r="P247" i="2"/>
  <c r="P267" i="2"/>
  <c r="D326" i="2"/>
  <c r="P164" i="2"/>
  <c r="D223" i="2"/>
  <c r="D235" i="2"/>
  <c r="P176" i="2"/>
  <c r="D269" i="2"/>
  <c r="P210" i="2"/>
  <c r="P213" i="2"/>
  <c r="D272" i="2"/>
  <c r="P274" i="2"/>
  <c r="D333" i="2"/>
  <c r="D271" i="2"/>
  <c r="P212" i="2"/>
  <c r="D346" i="2"/>
  <c r="P287" i="2"/>
  <c r="D256" i="2"/>
  <c r="P197" i="2"/>
  <c r="D327" i="2"/>
  <c r="P268" i="2"/>
  <c r="P257" i="2"/>
  <c r="D316" i="2"/>
  <c r="P195" i="2"/>
  <c r="D254" i="2"/>
  <c r="P340" i="2"/>
  <c r="D399" i="2"/>
  <c r="D232" i="2"/>
  <c r="P173" i="2"/>
  <c r="D246" i="2"/>
  <c r="P187" i="2"/>
  <c r="P167" i="2"/>
  <c r="D226" i="2"/>
  <c r="P200" i="2"/>
  <c r="D259" i="2"/>
  <c r="P181" i="2"/>
  <c r="D240" i="2"/>
  <c r="P332" i="2"/>
  <c r="D391" i="2"/>
  <c r="P183" i="2"/>
  <c r="D242" i="2"/>
  <c r="P224" i="2"/>
  <c r="D283" i="2"/>
  <c r="P229" i="2"/>
  <c r="D288" i="2"/>
  <c r="D239" i="2"/>
  <c r="P180" i="2"/>
  <c r="P157" i="2"/>
  <c r="D216" i="2"/>
  <c r="D336" i="2"/>
  <c r="P277" i="2"/>
  <c r="D322" i="2"/>
  <c r="P263" i="2"/>
  <c r="D280" i="2"/>
  <c r="P221" i="2"/>
  <c r="D415" i="2"/>
  <c r="P356" i="2"/>
  <c r="D255" i="2"/>
  <c r="P196" i="2"/>
  <c r="D410" i="2"/>
  <c r="P351" i="2"/>
  <c r="P160" i="2"/>
  <c r="D219" i="2"/>
  <c r="P135" i="2"/>
  <c r="D194" i="2"/>
  <c r="P134" i="2"/>
  <c r="D193" i="2"/>
  <c r="D261" i="2"/>
  <c r="P202" i="2"/>
  <c r="P251" i="2"/>
  <c r="D310" i="2"/>
  <c r="P161" i="2"/>
  <c r="D220" i="2"/>
  <c r="D262" i="2"/>
  <c r="P203" i="2"/>
  <c r="D384" i="2"/>
  <c r="P325" i="2"/>
  <c r="P345" i="2"/>
  <c r="D404" i="2"/>
  <c r="P140" i="2"/>
  <c r="D199" i="2"/>
  <c r="P300" i="2"/>
  <c r="D359" i="2"/>
  <c r="D206" i="2"/>
  <c r="P147" i="2"/>
  <c r="D189" i="2"/>
  <c r="P130" i="2"/>
  <c r="D296" i="2"/>
  <c r="P237" i="2"/>
  <c r="P295" i="2"/>
  <c r="D354" i="2"/>
  <c r="D249" i="2"/>
  <c r="P190" i="2"/>
  <c r="D329" i="2"/>
  <c r="P270" i="2"/>
  <c r="P186" i="2"/>
  <c r="D245" i="2"/>
  <c r="D250" i="2"/>
  <c r="P191" i="2"/>
  <c r="P302" i="2"/>
  <c r="D361" i="2"/>
  <c r="P260" i="2"/>
  <c r="D319" i="2"/>
  <c r="P303" i="2"/>
  <c r="D362" i="2"/>
  <c r="D290" i="2"/>
  <c r="P231" i="2"/>
  <c r="D348" i="2"/>
  <c r="P289" i="2"/>
  <c r="D323" i="2" l="1"/>
  <c r="P264" i="2"/>
  <c r="D392" i="2"/>
  <c r="P333" i="2"/>
  <c r="D253" i="2"/>
  <c r="P194" i="2"/>
  <c r="D330" i="2"/>
  <c r="P271" i="2"/>
  <c r="D418" i="2"/>
  <c r="P359" i="2"/>
  <c r="P399" i="2"/>
  <c r="D458" i="2"/>
  <c r="D349" i="2"/>
  <c r="P290" i="2"/>
  <c r="P362" i="2"/>
  <c r="D421" i="2"/>
  <c r="P329" i="2"/>
  <c r="D388" i="2"/>
  <c r="P391" i="2"/>
  <c r="D450" i="2"/>
  <c r="P254" i="2"/>
  <c r="D313" i="2"/>
  <c r="D343" i="2"/>
  <c r="P284" i="2"/>
  <c r="D331" i="2"/>
  <c r="P272" i="2"/>
  <c r="P319" i="2"/>
  <c r="D378" i="2"/>
  <c r="D375" i="2"/>
  <c r="P316" i="2"/>
  <c r="D407" i="2"/>
  <c r="P348" i="2"/>
  <c r="D320" i="2"/>
  <c r="P261" i="2"/>
  <c r="P193" i="2"/>
  <c r="D252" i="2"/>
  <c r="P232" i="2"/>
  <c r="D291" i="2"/>
  <c r="D463" i="2"/>
  <c r="P404" i="2"/>
  <c r="D381" i="2"/>
  <c r="P322" i="2"/>
  <c r="P199" i="2"/>
  <c r="D258" i="2"/>
  <c r="D328" i="2"/>
  <c r="P269" i="2"/>
  <c r="P336" i="2"/>
  <c r="D395" i="2"/>
  <c r="D278" i="2"/>
  <c r="P219" i="2"/>
  <c r="P240" i="2"/>
  <c r="D299" i="2"/>
  <c r="P235" i="2"/>
  <c r="D294" i="2"/>
  <c r="D352" i="2"/>
  <c r="P293" i="2"/>
  <c r="P189" i="2"/>
  <c r="D248" i="2"/>
  <c r="D301" i="2"/>
  <c r="P242" i="2"/>
  <c r="P249" i="2"/>
  <c r="D308" i="2"/>
  <c r="D282" i="2"/>
  <c r="P223" i="2"/>
  <c r="P206" i="2"/>
  <c r="D265" i="2"/>
  <c r="D420" i="2"/>
  <c r="P361" i="2"/>
  <c r="D443" i="2"/>
  <c r="P384" i="2"/>
  <c r="P259" i="2"/>
  <c r="D318" i="2"/>
  <c r="P410" i="2"/>
  <c r="D469" i="2"/>
  <c r="P327" i="2"/>
  <c r="D386" i="2"/>
  <c r="P255" i="2"/>
  <c r="D314" i="2"/>
  <c r="D285" i="2"/>
  <c r="P226" i="2"/>
  <c r="D321" i="2"/>
  <c r="P262" i="2"/>
  <c r="D315" i="2"/>
  <c r="P256" i="2"/>
  <c r="P220" i="2"/>
  <c r="D279" i="2"/>
  <c r="P415" i="2"/>
  <c r="D474" i="2"/>
  <c r="D304" i="2"/>
  <c r="P245" i="2"/>
  <c r="D355" i="2"/>
  <c r="P296" i="2"/>
  <c r="D347" i="2"/>
  <c r="P288" i="2"/>
  <c r="P246" i="2"/>
  <c r="D305" i="2"/>
  <c r="D405" i="2"/>
  <c r="P346" i="2"/>
  <c r="D365" i="2"/>
  <c r="P306" i="2"/>
  <c r="P283" i="2"/>
  <c r="D342" i="2"/>
  <c r="P217" i="2"/>
  <c r="D276" i="2"/>
  <c r="P216" i="2"/>
  <c r="D275" i="2"/>
  <c r="P354" i="2"/>
  <c r="D413" i="2"/>
  <c r="D385" i="2"/>
  <c r="P326" i="2"/>
  <c r="D309" i="2"/>
  <c r="P250" i="2"/>
  <c r="D298" i="2"/>
  <c r="P239" i="2"/>
  <c r="P310" i="2"/>
  <c r="D369" i="2"/>
  <c r="D339" i="2"/>
  <c r="P280" i="2"/>
  <c r="P323" i="2" l="1"/>
  <c r="D382" i="2"/>
  <c r="P258" i="2"/>
  <c r="D317" i="2"/>
  <c r="D428" i="2"/>
  <c r="P369" i="2"/>
  <c r="P420" i="2"/>
  <c r="D479" i="2"/>
  <c r="D364" i="2"/>
  <c r="P305" i="2"/>
  <c r="D509" i="2"/>
  <c r="P450" i="2"/>
  <c r="P315" i="2"/>
  <c r="D374" i="2"/>
  <c r="D464" i="2"/>
  <c r="P405" i="2"/>
  <c r="P463" i="2"/>
  <c r="D522" i="2"/>
  <c r="D311" i="2"/>
  <c r="P252" i="2"/>
  <c r="P278" i="2"/>
  <c r="D337" i="2"/>
  <c r="P418" i="2"/>
  <c r="D477" i="2"/>
  <c r="P443" i="2"/>
  <c r="D502" i="2"/>
  <c r="D357" i="2"/>
  <c r="P298" i="2"/>
  <c r="D380" i="2"/>
  <c r="P321" i="2"/>
  <c r="P347" i="2"/>
  <c r="D406" i="2"/>
  <c r="P320" i="2"/>
  <c r="D379" i="2"/>
  <c r="D445" i="2"/>
  <c r="P386" i="2"/>
  <c r="D402" i="2"/>
  <c r="P343" i="2"/>
  <c r="D363" i="2"/>
  <c r="P304" i="2"/>
  <c r="D411" i="2"/>
  <c r="P352" i="2"/>
  <c r="P294" i="2"/>
  <c r="D353" i="2"/>
  <c r="P309" i="2"/>
  <c r="D368" i="2"/>
  <c r="D344" i="2"/>
  <c r="P285" i="2"/>
  <c r="D373" i="2"/>
  <c r="P314" i="2"/>
  <c r="D444" i="2"/>
  <c r="P385" i="2"/>
  <c r="D341" i="2"/>
  <c r="P282" i="2"/>
  <c r="D414" i="2"/>
  <c r="P355" i="2"/>
  <c r="D367" i="2"/>
  <c r="P308" i="2"/>
  <c r="P407" i="2"/>
  <c r="D466" i="2"/>
  <c r="D372" i="2"/>
  <c r="P313" i="2"/>
  <c r="D480" i="2"/>
  <c r="P421" i="2"/>
  <c r="P342" i="2"/>
  <c r="D401" i="2"/>
  <c r="P458" i="2"/>
  <c r="D517" i="2"/>
  <c r="P395" i="2"/>
  <c r="D454" i="2"/>
  <c r="D472" i="2"/>
  <c r="P413" i="2"/>
  <c r="D387" i="2"/>
  <c r="P328" i="2"/>
  <c r="P330" i="2"/>
  <c r="D389" i="2"/>
  <c r="P275" i="2"/>
  <c r="D334" i="2"/>
  <c r="D360" i="2"/>
  <c r="P301" i="2"/>
  <c r="P474" i="2"/>
  <c r="D533" i="2"/>
  <c r="P533" i="2" s="1"/>
  <c r="D528" i="2"/>
  <c r="P469" i="2"/>
  <c r="D307" i="2"/>
  <c r="P248" i="2"/>
  <c r="D335" i="2"/>
  <c r="P276" i="2"/>
  <c r="P381" i="2"/>
  <c r="D440" i="2"/>
  <c r="D434" i="2"/>
  <c r="P375" i="2"/>
  <c r="D338" i="2"/>
  <c r="P279" i="2"/>
  <c r="P318" i="2"/>
  <c r="D377" i="2"/>
  <c r="D447" i="2"/>
  <c r="P388" i="2"/>
  <c r="P339" i="2"/>
  <c r="D398" i="2"/>
  <c r="P253" i="2"/>
  <c r="D312" i="2"/>
  <c r="P378" i="2"/>
  <c r="D437" i="2"/>
  <c r="P392" i="2"/>
  <c r="D451" i="2"/>
  <c r="D424" i="2"/>
  <c r="P365" i="2"/>
  <c r="P265" i="2"/>
  <c r="D324" i="2"/>
  <c r="D358" i="2"/>
  <c r="P299" i="2"/>
  <c r="P291" i="2"/>
  <c r="D350" i="2"/>
  <c r="D390" i="2"/>
  <c r="P331" i="2"/>
  <c r="D408" i="2"/>
  <c r="P349" i="2"/>
  <c r="R2" i="2" l="1"/>
  <c r="Q2" i="2"/>
  <c r="P382" i="2"/>
  <c r="D441" i="2"/>
  <c r="P334" i="2"/>
  <c r="D393" i="2"/>
  <c r="D448" i="2"/>
  <c r="P389" i="2"/>
  <c r="P401" i="2"/>
  <c r="D460" i="2"/>
  <c r="P445" i="2"/>
  <c r="D504" i="2"/>
  <c r="P344" i="2"/>
  <c r="D403" i="2"/>
  <c r="D419" i="2"/>
  <c r="P360" i="2"/>
  <c r="D432" i="2"/>
  <c r="P373" i="2"/>
  <c r="P357" i="2"/>
  <c r="D416" i="2"/>
  <c r="D536" i="2"/>
  <c r="P536" i="2" s="1"/>
  <c r="P477" i="2"/>
  <c r="P479" i="2"/>
  <c r="D538" i="2"/>
  <c r="P538" i="2" s="1"/>
  <c r="P374" i="2"/>
  <c r="D433" i="2"/>
  <c r="D525" i="2"/>
  <c r="P466" i="2"/>
  <c r="D503" i="2"/>
  <c r="P444" i="2"/>
  <c r="D499" i="2"/>
  <c r="P440" i="2"/>
  <c r="D412" i="2"/>
  <c r="P353" i="2"/>
  <c r="D438" i="2"/>
  <c r="P379" i="2"/>
  <c r="D396" i="2"/>
  <c r="P337" i="2"/>
  <c r="D487" i="2"/>
  <c r="P428" i="2"/>
  <c r="P387" i="2"/>
  <c r="D446" i="2"/>
  <c r="D427" i="2"/>
  <c r="P368" i="2"/>
  <c r="P317" i="2"/>
  <c r="D376" i="2"/>
  <c r="P509" i="2"/>
  <c r="D568" i="2"/>
  <c r="P568" i="2" s="1"/>
  <c r="P358" i="2"/>
  <c r="D417" i="2"/>
  <c r="D431" i="2"/>
  <c r="P372" i="2"/>
  <c r="D510" i="2"/>
  <c r="P451" i="2"/>
  <c r="D506" i="2"/>
  <c r="P447" i="2"/>
  <c r="D483" i="2"/>
  <c r="P424" i="2"/>
  <c r="D531" i="2"/>
  <c r="P472" i="2"/>
  <c r="D467" i="2"/>
  <c r="P408" i="2"/>
  <c r="P311" i="2"/>
  <c r="D370" i="2"/>
  <c r="P377" i="2"/>
  <c r="D436" i="2"/>
  <c r="P454" i="2"/>
  <c r="D513" i="2"/>
  <c r="P411" i="2"/>
  <c r="D470" i="2"/>
  <c r="D587" i="2"/>
  <c r="P587" i="2" s="1"/>
  <c r="P528" i="2"/>
  <c r="P522" i="2"/>
  <c r="D581" i="2"/>
  <c r="P581" i="2" s="1"/>
  <c r="P324" i="2"/>
  <c r="D383" i="2"/>
  <c r="D561" i="2"/>
  <c r="P561" i="2" s="1"/>
  <c r="P502" i="2"/>
  <c r="Q30" i="2" s="1"/>
  <c r="P335" i="2"/>
  <c r="D394" i="2"/>
  <c r="D465" i="2"/>
  <c r="P406" i="2"/>
  <c r="P380" i="2"/>
  <c r="D439" i="2"/>
  <c r="D409" i="2"/>
  <c r="P350" i="2"/>
  <c r="P398" i="2"/>
  <c r="D457" i="2"/>
  <c r="P307" i="2"/>
  <c r="D366" i="2"/>
  <c r="D426" i="2"/>
  <c r="P367" i="2"/>
  <c r="D449" i="2"/>
  <c r="P390" i="2"/>
  <c r="P414" i="2"/>
  <c r="D473" i="2"/>
  <c r="D493" i="2"/>
  <c r="P434" i="2"/>
  <c r="D539" i="2"/>
  <c r="P539" i="2" s="1"/>
  <c r="P480" i="2"/>
  <c r="D423" i="2"/>
  <c r="P364" i="2"/>
  <c r="D576" i="2"/>
  <c r="P576" i="2" s="1"/>
  <c r="P517" i="2"/>
  <c r="D371" i="2"/>
  <c r="P312" i="2"/>
  <c r="P341" i="2"/>
  <c r="D400" i="2"/>
  <c r="D496" i="2"/>
  <c r="P437" i="2"/>
  <c r="P338" i="2"/>
  <c r="D397" i="2"/>
  <c r="P363" i="2"/>
  <c r="D422" i="2"/>
  <c r="D461" i="2"/>
  <c r="P402" i="2"/>
  <c r="D523" i="2"/>
  <c r="P464" i="2"/>
  <c r="R45" i="2" l="1"/>
  <c r="Q56" i="2"/>
  <c r="R8" i="2"/>
  <c r="R5" i="2"/>
  <c r="R30" i="2"/>
  <c r="Q37" i="2"/>
  <c r="Q5" i="2"/>
  <c r="Q8" i="2"/>
  <c r="R7" i="2"/>
  <c r="Q45" i="2"/>
  <c r="P441" i="2"/>
  <c r="D500" i="2"/>
  <c r="R56" i="2"/>
  <c r="Q7" i="2"/>
  <c r="P506" i="2"/>
  <c r="D565" i="2"/>
  <c r="P565" i="2" s="1"/>
  <c r="D532" i="2"/>
  <c r="P473" i="2"/>
  <c r="D507" i="2"/>
  <c r="P448" i="2"/>
  <c r="P436" i="2"/>
  <c r="D495" i="2"/>
  <c r="D505" i="2"/>
  <c r="P446" i="2"/>
  <c r="D430" i="2"/>
  <c r="P371" i="2"/>
  <c r="D452" i="2"/>
  <c r="P393" i="2"/>
  <c r="D492" i="2"/>
  <c r="P433" i="2"/>
  <c r="D569" i="2"/>
  <c r="P569" i="2" s="1"/>
  <c r="P510" i="2"/>
  <c r="D429" i="2"/>
  <c r="P370" i="2"/>
  <c r="P383" i="2"/>
  <c r="D442" i="2"/>
  <c r="P438" i="2"/>
  <c r="D497" i="2"/>
  <c r="P416" i="2"/>
  <c r="D475" i="2"/>
  <c r="D563" i="2"/>
  <c r="P563" i="2" s="1"/>
  <c r="P504" i="2"/>
  <c r="P467" i="2"/>
  <c r="D526" i="2"/>
  <c r="D453" i="2"/>
  <c r="P394" i="2"/>
  <c r="P396" i="2"/>
  <c r="D455" i="2"/>
  <c r="D471" i="2"/>
  <c r="P412" i="2"/>
  <c r="P426" i="2"/>
  <c r="D485" i="2"/>
  <c r="D490" i="2"/>
  <c r="P431" i="2"/>
  <c r="D481" i="2"/>
  <c r="P422" i="2"/>
  <c r="D590" i="2"/>
  <c r="P590" i="2" s="1"/>
  <c r="P531" i="2"/>
  <c r="D546" i="2"/>
  <c r="P546" i="2" s="1"/>
  <c r="P487" i="2"/>
  <c r="P449" i="2"/>
  <c r="D508" i="2"/>
  <c r="D476" i="2"/>
  <c r="P417" i="2"/>
  <c r="P432" i="2"/>
  <c r="D491" i="2"/>
  <c r="R37" i="2"/>
  <c r="D552" i="2"/>
  <c r="P552" i="2" s="1"/>
  <c r="P493" i="2"/>
  <c r="D519" i="2"/>
  <c r="P460" i="2"/>
  <c r="P465" i="2"/>
  <c r="D524" i="2"/>
  <c r="P523" i="2"/>
  <c r="D582" i="2"/>
  <c r="P582" i="2" s="1"/>
  <c r="D425" i="2"/>
  <c r="P366" i="2"/>
  <c r="P483" i="2"/>
  <c r="D542" i="2"/>
  <c r="P542" i="2" s="1"/>
  <c r="P397" i="2"/>
  <c r="D456" i="2"/>
  <c r="D529" i="2"/>
  <c r="P470" i="2"/>
  <c r="P499" i="2"/>
  <c r="D558" i="2"/>
  <c r="P558" i="2" s="1"/>
  <c r="P503" i="2"/>
  <c r="D562" i="2"/>
  <c r="P562" i="2" s="1"/>
  <c r="P403" i="2"/>
  <c r="D462" i="2"/>
  <c r="D520" i="2"/>
  <c r="P461" i="2"/>
  <c r="Q50" i="2"/>
  <c r="P423" i="2"/>
  <c r="D482" i="2"/>
  <c r="D516" i="2"/>
  <c r="P457" i="2"/>
  <c r="D435" i="2"/>
  <c r="P376" i="2"/>
  <c r="D468" i="2"/>
  <c r="P409" i="2"/>
  <c r="D572" i="2"/>
  <c r="P572" i="2" s="1"/>
  <c r="P513" i="2"/>
  <c r="D478" i="2"/>
  <c r="P419" i="2"/>
  <c r="P496" i="2"/>
  <c r="D555" i="2"/>
  <c r="P555" i="2" s="1"/>
  <c r="P400" i="2"/>
  <c r="D459" i="2"/>
  <c r="P439" i="2"/>
  <c r="D498" i="2"/>
  <c r="P427" i="2"/>
  <c r="D486" i="2"/>
  <c r="P525" i="2"/>
  <c r="D584" i="2"/>
  <c r="P584" i="2" s="1"/>
  <c r="R50" i="2"/>
  <c r="Q51" i="2" l="1"/>
  <c r="R59" i="2"/>
  <c r="Q59" i="2"/>
  <c r="R51" i="2"/>
  <c r="R38" i="2"/>
  <c r="R15" i="2"/>
  <c r="R41" i="2"/>
  <c r="Q53" i="2"/>
  <c r="Q31" i="2"/>
  <c r="R21" i="2"/>
  <c r="Q32" i="2"/>
  <c r="Q34" i="2"/>
  <c r="Q21" i="2"/>
  <c r="Q15" i="2"/>
  <c r="R31" i="2"/>
  <c r="D559" i="2"/>
  <c r="P559" i="2" s="1"/>
  <c r="P500" i="2"/>
  <c r="R27" i="2"/>
  <c r="D540" i="2"/>
  <c r="P540" i="2" s="1"/>
  <c r="P481" i="2"/>
  <c r="R32" i="2"/>
  <c r="P452" i="2"/>
  <c r="D511" i="2"/>
  <c r="Q24" i="2"/>
  <c r="P435" i="2"/>
  <c r="D494" i="2"/>
  <c r="D550" i="2"/>
  <c r="P550" i="2" s="1"/>
  <c r="P491" i="2"/>
  <c r="D588" i="2"/>
  <c r="P588" i="2" s="1"/>
  <c r="P529" i="2"/>
  <c r="P490" i="2"/>
  <c r="D549" i="2"/>
  <c r="P549" i="2" s="1"/>
  <c r="R34" i="2"/>
  <c r="D489" i="2"/>
  <c r="P430" i="2"/>
  <c r="D564" i="2"/>
  <c r="P564" i="2" s="1"/>
  <c r="P505" i="2"/>
  <c r="Q38" i="2"/>
  <c r="P475" i="2"/>
  <c r="D534" i="2"/>
  <c r="P534" i="2" s="1"/>
  <c r="P524" i="2"/>
  <c r="D583" i="2"/>
  <c r="P583" i="2" s="1"/>
  <c r="P456" i="2"/>
  <c r="D515" i="2"/>
  <c r="P476" i="2"/>
  <c r="D535" i="2"/>
  <c r="P535" i="2" s="1"/>
  <c r="D530" i="2"/>
  <c r="P471" i="2"/>
  <c r="Q27" i="2"/>
  <c r="D484" i="2"/>
  <c r="P425" i="2"/>
  <c r="R24" i="2"/>
  <c r="D567" i="2"/>
  <c r="P567" i="2" s="1"/>
  <c r="P508" i="2"/>
  <c r="R11" i="2"/>
  <c r="Q11" i="2"/>
  <c r="D554" i="2"/>
  <c r="P554" i="2" s="1"/>
  <c r="P495" i="2"/>
  <c r="P519" i="2"/>
  <c r="D578" i="2"/>
  <c r="P578" i="2" s="1"/>
  <c r="D551" i="2"/>
  <c r="P551" i="2" s="1"/>
  <c r="P492" i="2"/>
  <c r="P520" i="2"/>
  <c r="D579" i="2"/>
  <c r="P579" i="2" s="1"/>
  <c r="R53" i="2"/>
  <c r="D556" i="2"/>
  <c r="P556" i="2" s="1"/>
  <c r="P497" i="2"/>
  <c r="D512" i="2"/>
  <c r="P453" i="2"/>
  <c r="P478" i="2"/>
  <c r="D537" i="2"/>
  <c r="P537" i="2" s="1"/>
  <c r="P485" i="2"/>
  <c r="D544" i="2"/>
  <c r="P544" i="2" s="1"/>
  <c r="D545" i="2"/>
  <c r="P545" i="2" s="1"/>
  <c r="P486" i="2"/>
  <c r="P498" i="2"/>
  <c r="D557" i="2"/>
  <c r="P557" i="2" s="1"/>
  <c r="D518" i="2"/>
  <c r="P459" i="2"/>
  <c r="D527" i="2"/>
  <c r="P468" i="2"/>
  <c r="P429" i="2"/>
  <c r="D488" i="2"/>
  <c r="P532" i="2"/>
  <c r="D591" i="2"/>
  <c r="P591" i="2" s="1"/>
  <c r="D575" i="2"/>
  <c r="P575" i="2" s="1"/>
  <c r="P516" i="2"/>
  <c r="D585" i="2"/>
  <c r="P585" i="2" s="1"/>
  <c r="P526" i="2"/>
  <c r="D541" i="2"/>
  <c r="P541" i="2" s="1"/>
  <c r="P482" i="2"/>
  <c r="Q41" i="2"/>
  <c r="D521" i="2"/>
  <c r="P462" i="2"/>
  <c r="D501" i="2"/>
  <c r="P442" i="2"/>
  <c r="D566" i="2"/>
  <c r="P566" i="2" s="1"/>
  <c r="P507" i="2"/>
  <c r="P455" i="2"/>
  <c r="D514" i="2"/>
  <c r="Q33" i="2" l="1"/>
  <c r="R28" i="2"/>
  <c r="Q10" i="2"/>
  <c r="R35" i="2"/>
  <c r="Q36" i="2"/>
  <c r="Q48" i="2"/>
  <c r="Q20" i="2"/>
  <c r="R14" i="2"/>
  <c r="R36" i="2"/>
  <c r="R23" i="2"/>
  <c r="Q54" i="2"/>
  <c r="Q19" i="2"/>
  <c r="Q18" i="2"/>
  <c r="R57" i="2"/>
  <c r="Q35" i="2"/>
  <c r="R4" i="2"/>
  <c r="Q14" i="2"/>
  <c r="Q23" i="2"/>
  <c r="R48" i="2"/>
  <c r="R54" i="2"/>
  <c r="Q44" i="2"/>
  <c r="Q57" i="2"/>
  <c r="Q3" i="2"/>
  <c r="Q13" i="2"/>
  <c r="Q4" i="2"/>
  <c r="R10" i="2"/>
  <c r="Q6" i="2"/>
  <c r="R44" i="2"/>
  <c r="R19" i="2"/>
  <c r="Q28" i="2"/>
  <c r="Q25" i="2"/>
  <c r="R25" i="2"/>
  <c r="P489" i="2"/>
  <c r="D548" i="2"/>
  <c r="P548" i="2" s="1"/>
  <c r="D543" i="2"/>
  <c r="P543" i="2" s="1"/>
  <c r="P484" i="2"/>
  <c r="R9" i="2"/>
  <c r="Q9" i="2"/>
  <c r="P518" i="2"/>
  <c r="D577" i="2"/>
  <c r="P577" i="2" s="1"/>
  <c r="P521" i="2"/>
  <c r="D580" i="2"/>
  <c r="P580" i="2" s="1"/>
  <c r="Q47" i="2"/>
  <c r="R47" i="2"/>
  <c r="R20" i="2"/>
  <c r="R18" i="2"/>
  <c r="R6" i="2"/>
  <c r="D589" i="2"/>
  <c r="P589" i="2" s="1"/>
  <c r="P530" i="2"/>
  <c r="R3" i="2"/>
  <c r="D553" i="2"/>
  <c r="P553" i="2" s="1"/>
  <c r="P494" i="2"/>
  <c r="P512" i="2"/>
  <c r="D571" i="2"/>
  <c r="P571" i="2" s="1"/>
  <c r="P515" i="2"/>
  <c r="D574" i="2"/>
  <c r="P574" i="2" s="1"/>
  <c r="D570" i="2"/>
  <c r="P570" i="2" s="1"/>
  <c r="P511" i="2"/>
  <c r="D573" i="2"/>
  <c r="P573" i="2" s="1"/>
  <c r="P514" i="2"/>
  <c r="R13" i="2"/>
  <c r="D586" i="2"/>
  <c r="P586" i="2" s="1"/>
  <c r="P527" i="2"/>
  <c r="Q52" i="2"/>
  <c r="R52" i="2"/>
  <c r="Q26" i="2"/>
  <c r="R26" i="2"/>
  <c r="R33" i="2"/>
  <c r="Q60" i="2"/>
  <c r="R60" i="2"/>
  <c r="D547" i="2"/>
  <c r="P547" i="2" s="1"/>
  <c r="P488" i="2"/>
  <c r="D560" i="2"/>
  <c r="P560" i="2" s="1"/>
  <c r="P501" i="2"/>
  <c r="R55" i="2" l="1"/>
  <c r="Q12" i="2"/>
  <c r="Q58" i="2"/>
  <c r="R49" i="2"/>
  <c r="Q16" i="2"/>
  <c r="R22" i="2"/>
  <c r="R17" i="2"/>
  <c r="Q55" i="2"/>
  <c r="Q43" i="2"/>
  <c r="R40" i="2"/>
  <c r="R16" i="2"/>
  <c r="Q17" i="2"/>
  <c r="Q29" i="2"/>
  <c r="Q46" i="2"/>
  <c r="Q40" i="2"/>
  <c r="R29" i="2"/>
  <c r="R39" i="2"/>
  <c r="Q39" i="2"/>
  <c r="Q22" i="2"/>
  <c r="R58" i="2"/>
  <c r="R12" i="2"/>
  <c r="R43" i="2"/>
  <c r="R42" i="2"/>
  <c r="Q42" i="2"/>
  <c r="Q49" i="2"/>
  <c r="R46" i="2"/>
  <c r="R62" i="2" l="1"/>
  <c r="Q62" i="2"/>
</calcChain>
</file>

<file path=xl/sharedStrings.xml><?xml version="1.0" encoding="utf-8"?>
<sst xmlns="http://schemas.openxmlformats.org/spreadsheetml/2006/main" count="1935" uniqueCount="93">
  <si>
    <t>Problem</t>
    <phoneticPr fontId="1" type="noConversion"/>
  </si>
  <si>
    <t>Number of tasks</t>
    <phoneticPr fontId="1" type="noConversion"/>
  </si>
  <si>
    <t>CT</t>
    <phoneticPr fontId="1" type="noConversion"/>
  </si>
  <si>
    <t>LBNM</t>
  </si>
  <si>
    <t>LBNS</t>
  </si>
  <si>
    <t>P9</t>
  </si>
  <si>
    <t>P12</t>
  </si>
  <si>
    <t>P16</t>
  </si>
  <si>
    <t>P24</t>
  </si>
  <si>
    <t>P65</t>
  </si>
  <si>
    <t>P148</t>
  </si>
  <si>
    <t>P205</t>
  </si>
  <si>
    <t>Runs</t>
    <phoneticPr fontId="1" type="noConversion"/>
  </si>
  <si>
    <t>UBNM</t>
    <phoneticPr fontId="1" type="noConversion"/>
  </si>
  <si>
    <t>LBNM</t>
    <phoneticPr fontId="1" type="noConversion"/>
  </si>
  <si>
    <t>OPT-verified</t>
    <phoneticPr fontId="1" type="noConversion"/>
  </si>
  <si>
    <t>Time</t>
    <phoneticPr fontId="1" type="noConversion"/>
  </si>
  <si>
    <t>TimeAvg</t>
    <phoneticPr fontId="1" type="noConversion"/>
  </si>
  <si>
    <t>OPT-Found</t>
    <phoneticPr fontId="1" type="noConversion"/>
  </si>
  <si>
    <t>NM_Best</t>
    <phoneticPr fontId="1" type="noConversion"/>
  </si>
  <si>
    <t>NM_Avg</t>
    <phoneticPr fontId="1" type="noConversion"/>
  </si>
  <si>
    <t>NS_Best</t>
    <phoneticPr fontId="1" type="noConversion"/>
  </si>
  <si>
    <t>NS_Avg</t>
    <phoneticPr fontId="1" type="noConversion"/>
  </si>
  <si>
    <t>RPD_NM_Best</t>
    <phoneticPr fontId="1" type="noConversion"/>
  </si>
  <si>
    <t>RPD_NM_Avg</t>
    <phoneticPr fontId="1" type="noConversion"/>
  </si>
  <si>
    <t>RPD_NS_Best</t>
    <phoneticPr fontId="1" type="noConversion"/>
  </si>
  <si>
    <t>RPD_NS_Avg</t>
    <phoneticPr fontId="1" type="noConversion"/>
  </si>
  <si>
    <t>#OPT_Best</t>
    <phoneticPr fontId="1" type="noConversion"/>
  </si>
  <si>
    <t>#OPT_Avg</t>
    <phoneticPr fontId="1" type="noConversion"/>
  </si>
  <si>
    <t>Method</t>
    <phoneticPr fontId="1" type="noConversion"/>
  </si>
  <si>
    <t>Objective</t>
    <phoneticPr fontId="1" type="noConversion"/>
  </si>
  <si>
    <t>Indicator</t>
    <phoneticPr fontId="1" type="noConversion"/>
  </si>
  <si>
    <t>P9_3.txt</t>
  </si>
  <si>
    <t>Fit</t>
  </si>
  <si>
    <t>P9_4.txt</t>
  </si>
  <si>
    <t>P9_5.txt</t>
  </si>
  <si>
    <t>P9_6.txt</t>
  </si>
  <si>
    <t>P9_7.txt</t>
  </si>
  <si>
    <t>P12_4.txt</t>
  </si>
  <si>
    <t>P12_5.txt</t>
  </si>
  <si>
    <t>P12_6.txt</t>
  </si>
  <si>
    <t>P12_7.txt</t>
  </si>
  <si>
    <t>P12_8.txt</t>
  </si>
  <si>
    <t>P12_9.txt</t>
  </si>
  <si>
    <t>P16_15.txt</t>
  </si>
  <si>
    <t>P16_16.txt</t>
  </si>
  <si>
    <t>P16_18.txt</t>
  </si>
  <si>
    <t>P16_19.txt</t>
  </si>
  <si>
    <t>P16_20.txt</t>
  </si>
  <si>
    <t>P16_21.txt</t>
  </si>
  <si>
    <t>P16_22.txt</t>
  </si>
  <si>
    <t>P24_18.txt</t>
  </si>
  <si>
    <t>P24_20.txt</t>
  </si>
  <si>
    <t>P24_24.txt</t>
  </si>
  <si>
    <t>P24_25.txt</t>
  </si>
  <si>
    <t>P24_30.txt</t>
  </si>
  <si>
    <t>P24_35.txt</t>
  </si>
  <si>
    <t>P24_40.txt</t>
  </si>
  <si>
    <t>P65_326.txt</t>
  </si>
  <si>
    <t>P65_381.txt</t>
  </si>
  <si>
    <t>P65_435.txt</t>
  </si>
  <si>
    <t>P65_490.txt</t>
  </si>
  <si>
    <t>P65_512.txt</t>
  </si>
  <si>
    <t>P65_544.txt</t>
  </si>
  <si>
    <t>P148_204.txt</t>
  </si>
  <si>
    <t>P148_228.txt</t>
  </si>
  <si>
    <t>P148_255.txt</t>
  </si>
  <si>
    <t>P148_306.txt</t>
  </si>
  <si>
    <t>P148_357.txt</t>
  </si>
  <si>
    <t>P148_378.txt</t>
  </si>
  <si>
    <t>P148_408.txt</t>
  </si>
  <si>
    <t>P148_454.txt</t>
  </si>
  <si>
    <t>P148_459.txt</t>
  </si>
  <si>
    <t>P148_510.txt</t>
  </si>
  <si>
    <t>P205_1133.txt</t>
  </si>
  <si>
    <t>P205_1275.txt</t>
  </si>
  <si>
    <t>P205_1322.txt</t>
  </si>
  <si>
    <t>P205_1455.txt</t>
  </si>
  <si>
    <t>P205_1510.txt</t>
  </si>
  <si>
    <t>P205_1650.txt</t>
  </si>
  <si>
    <t>P205_1699.txt</t>
  </si>
  <si>
    <t>P205_1888.txt</t>
  </si>
  <si>
    <t>P205_1920.txt</t>
  </si>
  <si>
    <t>P205_2077.txt</t>
  </si>
  <si>
    <t>P205_2100.txt</t>
  </si>
  <si>
    <t>P205_2266.txt</t>
  </si>
  <si>
    <t>P205_2300.txt</t>
  </si>
  <si>
    <t>P205_2454.txt</t>
  </si>
  <si>
    <t>P205_2500.txt</t>
  </si>
  <si>
    <t>P205_2643.txt</t>
  </si>
  <si>
    <t>P205_2800.txt</t>
  </si>
  <si>
    <t>P205_2832.txt</t>
  </si>
  <si>
    <t>WOABase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</si>
</sst>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0"/>
      <color theme="1"/>
      <name val="等线"/>
      <family val="2"/>
      <scheme val="minor"/>
    </font>
    <font>
      <b/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659"/>
  <sheetViews>
    <sheetView tabSelected="1" zoomScale="85" zoomScaleNormal="85" workbookViewId="0">
      <selection activeCell="H2" sqref="H2"/>
    </sheetView>
  </sheetViews>
  <sheetFormatPr defaultRowHeight="13.8" x14ac:dyDescent="0.25"/>
  <cols>
    <col min="1" max="2" width="8.88671875" style="4"/>
    <col min="3" max="6" width="7.109375" style="4" customWidth="1"/>
    <col min="7" max="12" width="8.88671875" style="6"/>
    <col min="13" max="15" width="8.88671875" style="7"/>
    <col min="16" max="19" width="8.88671875" style="5"/>
    <col min="20" max="23" width="13.44140625" style="5" customWidth="1"/>
    <col min="24" max="25" width="8.88671875" style="5"/>
    <col min="26" max="29" width="8.88671875" style="1"/>
    <col min="30" max="65" width="8.88671875" style="4"/>
  </cols>
  <sheetData>
    <row r="1" spans="1:65" ht="26.4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M1" s="2" t="s">
        <v>18</v>
      </c>
      <c r="N1" s="2" t="s">
        <v>27</v>
      </c>
      <c r="O1" s="2" t="s">
        <v>28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  <c r="U1" s="5" t="s">
        <v>24</v>
      </c>
      <c r="V1" s="5" t="s">
        <v>25</v>
      </c>
      <c r="W1" s="5" t="s">
        <v>26</v>
      </c>
      <c r="X1" s="5" t="s">
        <v>17</v>
      </c>
      <c r="Z1" s="1">
        <v>1</v>
      </c>
      <c r="AA1" s="1">
        <v>1</v>
      </c>
      <c r="AB1" s="1">
        <v>1</v>
      </c>
      <c r="AC1" s="1">
        <v>1</v>
      </c>
      <c r="AD1" s="4">
        <f>Z1+1</f>
        <v>2</v>
      </c>
      <c r="AE1" s="4">
        <f t="shared" ref="AE1:AH1" si="0">AA1+1</f>
        <v>2</v>
      </c>
      <c r="AF1" s="4">
        <f t="shared" si="0"/>
        <v>2</v>
      </c>
      <c r="AG1" s="4">
        <f t="shared" si="0"/>
        <v>2</v>
      </c>
      <c r="AH1" s="4">
        <f t="shared" si="0"/>
        <v>3</v>
      </c>
      <c r="AI1" s="4">
        <f t="shared" ref="AI1" si="1">AE1+1</f>
        <v>3</v>
      </c>
      <c r="AJ1" s="4">
        <f t="shared" ref="AJ1" si="2">AF1+1</f>
        <v>3</v>
      </c>
      <c r="AK1" s="4">
        <f t="shared" ref="AK1:AL1" si="3">AG1+1</f>
        <v>3</v>
      </c>
      <c r="AL1" s="4">
        <f t="shared" si="3"/>
        <v>4</v>
      </c>
      <c r="AM1" s="4">
        <f t="shared" ref="AM1" si="4">AI1+1</f>
        <v>4</v>
      </c>
      <c r="AN1" s="4">
        <f t="shared" ref="AN1" si="5">AJ1+1</f>
        <v>4</v>
      </c>
      <c r="AO1" s="4">
        <f t="shared" ref="AO1:AP1" si="6">AK1+1</f>
        <v>4</v>
      </c>
      <c r="AP1" s="4">
        <f t="shared" si="6"/>
        <v>5</v>
      </c>
      <c r="AQ1" s="4">
        <f t="shared" ref="AQ1" si="7">AM1+1</f>
        <v>5</v>
      </c>
      <c r="AR1" s="4">
        <f t="shared" ref="AR1" si="8">AN1+1</f>
        <v>5</v>
      </c>
      <c r="AS1" s="4">
        <f t="shared" ref="AS1:AT1" si="9">AO1+1</f>
        <v>5</v>
      </c>
      <c r="AT1" s="4">
        <f t="shared" si="9"/>
        <v>6</v>
      </c>
      <c r="AU1" s="4">
        <f t="shared" ref="AU1" si="10">AQ1+1</f>
        <v>6</v>
      </c>
      <c r="AV1" s="4">
        <f t="shared" ref="AV1" si="11">AR1+1</f>
        <v>6</v>
      </c>
      <c r="AW1" s="4">
        <f t="shared" ref="AW1:AX1" si="12">AS1+1</f>
        <v>6</v>
      </c>
      <c r="AX1" s="4">
        <f t="shared" si="12"/>
        <v>7</v>
      </c>
      <c r="AY1" s="4">
        <f t="shared" ref="AY1" si="13">AU1+1</f>
        <v>7</v>
      </c>
      <c r="AZ1" s="4">
        <f t="shared" ref="AZ1" si="14">AV1+1</f>
        <v>7</v>
      </c>
      <c r="BA1" s="4">
        <f t="shared" ref="BA1:BB1" si="15">AW1+1</f>
        <v>7</v>
      </c>
      <c r="BB1" s="4">
        <f t="shared" si="15"/>
        <v>8</v>
      </c>
      <c r="BC1" s="4">
        <f t="shared" ref="BC1" si="16">AY1+1</f>
        <v>8</v>
      </c>
      <c r="BD1" s="4">
        <f t="shared" ref="BD1" si="17">AZ1+1</f>
        <v>8</v>
      </c>
      <c r="BE1" s="4">
        <f t="shared" ref="BE1:BF1" si="18">BA1+1</f>
        <v>8</v>
      </c>
      <c r="BF1" s="4">
        <f t="shared" si="18"/>
        <v>9</v>
      </c>
      <c r="BG1" s="4">
        <f t="shared" ref="BG1" si="19">BC1+1</f>
        <v>9</v>
      </c>
      <c r="BH1" s="4">
        <f t="shared" ref="BH1" si="20">BD1+1</f>
        <v>9</v>
      </c>
      <c r="BI1" s="4">
        <f t="shared" ref="BI1:BJ1" si="21">BE1+1</f>
        <v>9</v>
      </c>
      <c r="BJ1" s="4">
        <f t="shared" si="21"/>
        <v>10</v>
      </c>
      <c r="BK1" s="4">
        <f t="shared" ref="BK1" si="22">BG1+1</f>
        <v>10</v>
      </c>
      <c r="BL1" s="4">
        <f t="shared" ref="BL1" si="23">BH1+1</f>
        <v>10</v>
      </c>
      <c r="BM1" s="4">
        <f t="shared" ref="BM1" si="24">BI1+1</f>
        <v>10</v>
      </c>
    </row>
    <row r="2" spans="1:65" x14ac:dyDescent="0.25">
      <c r="A2" s="2" t="s">
        <v>5</v>
      </c>
      <c r="B2" s="2">
        <v>9</v>
      </c>
      <c r="C2" s="2">
        <v>3</v>
      </c>
      <c r="D2" s="2">
        <v>3</v>
      </c>
      <c r="E2" s="2">
        <v>6</v>
      </c>
      <c r="F2" s="2">
        <v>1</v>
      </c>
      <c r="H2" s="2">
        <v>3</v>
      </c>
      <c r="I2" s="2">
        <v>6</v>
      </c>
      <c r="J2" s="2">
        <v>1</v>
      </c>
      <c r="K2" s="2">
        <v>3.0000000000000001E-3</v>
      </c>
      <c r="M2" s="7">
        <f>IF(D2*100+E2=H2*100+I2,1,0)</f>
        <v>1</v>
      </c>
      <c r="N2" s="7">
        <f>MAX(M2, M61, M120, M179, M238, M297, M356, M415, M474, M533)</f>
        <v>1</v>
      </c>
      <c r="O2" s="7">
        <f>AVERAGE(M2, M61, M120, M179, M238, M297, M356, M415, M474, M533)</f>
        <v>1</v>
      </c>
      <c r="P2" s="5">
        <f>MIN(H2, H61, H120, H179, H238, H297, H356, H415, H474, H533)</f>
        <v>3</v>
      </c>
      <c r="Q2" s="5">
        <f t="shared" ref="Q2:Q33" si="25">AVERAGE(H2, H61, H120, H179, H238, H297, H356, H415, H474, H533)</f>
        <v>3</v>
      </c>
      <c r="R2" s="5">
        <f t="shared" ref="R2:R33" si="26">MIN(I2, I61, I120, I179, I238, I297, I356, I415, I474, I533)</f>
        <v>6</v>
      </c>
      <c r="S2" s="5">
        <f t="shared" ref="S2:S33" si="27">AVERAGE(I2, I61, I120, I179, I238, I297, I356, I415, I474, I533)</f>
        <v>6</v>
      </c>
      <c r="T2" s="5">
        <f>100*(P2-D2)/D2</f>
        <v>0</v>
      </c>
      <c r="U2" s="5">
        <f>100*(Q2-D2)/D2</f>
        <v>0</v>
      </c>
      <c r="V2" s="5">
        <f>100*(R2-E2)/E2</f>
        <v>0</v>
      </c>
      <c r="W2" s="5">
        <f>100*(S2-E2)/E2</f>
        <v>0</v>
      </c>
      <c r="X2" s="5">
        <f t="shared" ref="X2:X33" si="28">AVERAGE(K2, K61, K120, K179, K238, K297, K356, K415, K474, K533)</f>
        <v>2.0000000000000005E-3</v>
      </c>
      <c r="Z2" s="1">
        <f>H2</f>
        <v>3</v>
      </c>
      <c r="AA2" s="1">
        <f t="shared" ref="AA2:AC2" si="29">I2</f>
        <v>6</v>
      </c>
      <c r="AB2" s="1">
        <f t="shared" si="29"/>
        <v>1</v>
      </c>
      <c r="AC2" s="1">
        <f t="shared" si="29"/>
        <v>3.0000000000000001E-3</v>
      </c>
      <c r="AD2" s="4">
        <f>H61</f>
        <v>3</v>
      </c>
      <c r="AE2" s="4">
        <f t="shared" ref="AE2:AG2" si="30">I61</f>
        <v>6</v>
      </c>
      <c r="AF2" s="4">
        <f t="shared" si="30"/>
        <v>1</v>
      </c>
      <c r="AG2" s="4">
        <f t="shared" si="30"/>
        <v>2E-3</v>
      </c>
      <c r="AH2" s="4">
        <f>H120</f>
        <v>3</v>
      </c>
      <c r="AI2" s="4">
        <f t="shared" ref="AI2:AK2" si="31">I120</f>
        <v>6</v>
      </c>
      <c r="AJ2" s="4">
        <f t="shared" si="31"/>
        <v>1</v>
      </c>
      <c r="AK2" s="4">
        <f t="shared" si="31"/>
        <v>1E-3</v>
      </c>
      <c r="AL2" s="4">
        <f>H179</f>
        <v>3</v>
      </c>
      <c r="AM2" s="4">
        <f t="shared" ref="AM2:AO2" si="32">I179</f>
        <v>6</v>
      </c>
      <c r="AN2" s="4">
        <f t="shared" si="32"/>
        <v>1</v>
      </c>
      <c r="AO2" s="4">
        <f t="shared" si="32"/>
        <v>2E-3</v>
      </c>
      <c r="AP2" s="4">
        <f>H238</f>
        <v>3</v>
      </c>
      <c r="AQ2" s="4">
        <f t="shared" ref="AQ2:AS2" si="33">I238</f>
        <v>6</v>
      </c>
      <c r="AR2" s="4">
        <f t="shared" si="33"/>
        <v>1</v>
      </c>
      <c r="AS2" s="4">
        <f t="shared" si="33"/>
        <v>1E-3</v>
      </c>
      <c r="AT2" s="4">
        <f>H297</f>
        <v>3</v>
      </c>
      <c r="AU2" s="4">
        <f t="shared" ref="AU2:AW2" si="34">I297</f>
        <v>6</v>
      </c>
      <c r="AV2" s="4">
        <f t="shared" si="34"/>
        <v>1</v>
      </c>
      <c r="AW2" s="4">
        <f t="shared" si="34"/>
        <v>2E-3</v>
      </c>
      <c r="AX2" s="4">
        <f>H356</f>
        <v>3</v>
      </c>
      <c r="AY2" s="4">
        <f t="shared" ref="AY2:BA2" si="35">I356</f>
        <v>6</v>
      </c>
      <c r="AZ2" s="4">
        <f t="shared" si="35"/>
        <v>1</v>
      </c>
      <c r="BA2" s="4">
        <f t="shared" si="35"/>
        <v>3.0000000000000001E-3</v>
      </c>
      <c r="BB2" s="4">
        <f>H415</f>
        <v>3</v>
      </c>
      <c r="BC2" s="4">
        <f t="shared" ref="BC2:BE2" si="36">I415</f>
        <v>6</v>
      </c>
      <c r="BD2" s="4">
        <f t="shared" si="36"/>
        <v>1</v>
      </c>
      <c r="BE2" s="4">
        <f t="shared" si="36"/>
        <v>3.0000000000000001E-3</v>
      </c>
      <c r="BF2" s="4">
        <f>H474</f>
        <v>3</v>
      </c>
      <c r="BG2" s="4">
        <f t="shared" ref="BG2:BI2" si="37">I474</f>
        <v>6</v>
      </c>
      <c r="BH2" s="4">
        <f t="shared" si="37"/>
        <v>1</v>
      </c>
      <c r="BI2" s="4">
        <f t="shared" si="37"/>
        <v>1E-3</v>
      </c>
      <c r="BJ2" s="4">
        <f>H533</f>
        <v>3</v>
      </c>
      <c r="BK2" s="4">
        <f t="shared" ref="BK2:BM2" si="38">I533</f>
        <v>6</v>
      </c>
      <c r="BL2" s="4">
        <f t="shared" si="38"/>
        <v>1</v>
      </c>
      <c r="BM2" s="4">
        <f t="shared" si="38"/>
        <v>2E-3</v>
      </c>
    </row>
    <row r="3" spans="1:65" x14ac:dyDescent="0.25">
      <c r="A3" s="2" t="s">
        <v>5</v>
      </c>
      <c r="B3" s="2">
        <v>9</v>
      </c>
      <c r="C3" s="2">
        <v>4</v>
      </c>
      <c r="D3" s="2">
        <v>3</v>
      </c>
      <c r="E3" s="2">
        <v>5</v>
      </c>
      <c r="F3" s="2">
        <v>1</v>
      </c>
      <c r="H3" s="2">
        <v>3</v>
      </c>
      <c r="I3" s="2">
        <v>5</v>
      </c>
      <c r="J3" s="2">
        <v>1</v>
      </c>
      <c r="K3" s="2">
        <v>0</v>
      </c>
      <c r="M3" s="7">
        <f t="shared" ref="M3:M66" si="39">IF(D3*100+E3=H3*100+I3,1,0)</f>
        <v>1</v>
      </c>
      <c r="N3" s="7">
        <f t="shared" ref="N3:N60" si="40">MAX(M3, M62, M121, M180, M239, M298, M357, M416, M475, M534)</f>
        <v>1</v>
      </c>
      <c r="O3" s="7">
        <f t="shared" ref="O3:O60" si="41">AVERAGE(M3, M62, M121, M180, M239, M298, M357, M416, M475, M534)</f>
        <v>1</v>
      </c>
      <c r="P3" s="5">
        <f t="shared" ref="P3:P60" si="42">MIN(H3, H62, H121, H180, H239, H298, H357, H416, H475, H534)</f>
        <v>3</v>
      </c>
      <c r="Q3" s="5">
        <f t="shared" si="25"/>
        <v>3</v>
      </c>
      <c r="R3" s="5">
        <f t="shared" si="26"/>
        <v>5</v>
      </c>
      <c r="S3" s="5">
        <f t="shared" si="27"/>
        <v>5</v>
      </c>
      <c r="T3" s="5">
        <f t="shared" ref="T3:T60" si="43">100*(P3-D3)/D3</f>
        <v>0</v>
      </c>
      <c r="U3" s="5">
        <f t="shared" ref="U3:U60" si="44">100*(Q3-D3)/D3</f>
        <v>0</v>
      </c>
      <c r="V3" s="5">
        <f t="shared" ref="V3:V60" si="45">100*(R3-E3)/E3</f>
        <v>0</v>
      </c>
      <c r="W3" s="5">
        <f t="shared" ref="W3:W60" si="46">100*(S3-E3)/E3</f>
        <v>0</v>
      </c>
      <c r="X3" s="5">
        <f t="shared" si="28"/>
        <v>2.1000000000000003E-3</v>
      </c>
      <c r="Z3" s="1">
        <f t="shared" ref="Z3:Z27" si="47">H3</f>
        <v>3</v>
      </c>
      <c r="AA3" s="1">
        <f t="shared" ref="AA3:AA60" si="48">I3</f>
        <v>5</v>
      </c>
      <c r="AB3" s="1">
        <f t="shared" ref="AB3:AB60" si="49">J3</f>
        <v>1</v>
      </c>
      <c r="AC3" s="1">
        <f t="shared" ref="AC3:AC60" si="50">K3</f>
        <v>0</v>
      </c>
      <c r="AD3" s="4">
        <f t="shared" ref="AD3:AD60" si="51">H62</f>
        <v>3</v>
      </c>
      <c r="AE3" s="4">
        <f t="shared" ref="AE3:AE60" si="52">I62</f>
        <v>5</v>
      </c>
      <c r="AF3" s="4">
        <f t="shared" ref="AF3:AF60" si="53">J62</f>
        <v>1</v>
      </c>
      <c r="AG3" s="4">
        <f t="shared" ref="AG3:AG60" si="54">K62</f>
        <v>2E-3</v>
      </c>
      <c r="AH3" s="4">
        <f t="shared" ref="AH3:AH60" si="55">H121</f>
        <v>3</v>
      </c>
      <c r="AI3" s="4">
        <f t="shared" ref="AI3:AI60" si="56">I121</f>
        <v>5</v>
      </c>
      <c r="AJ3" s="4">
        <f t="shared" ref="AJ3:AJ60" si="57">J121</f>
        <v>1</v>
      </c>
      <c r="AK3" s="4">
        <f t="shared" ref="AK3:AK60" si="58">K121</f>
        <v>2E-3</v>
      </c>
      <c r="AL3" s="4">
        <f t="shared" ref="AL3:AL60" si="59">H180</f>
        <v>3</v>
      </c>
      <c r="AM3" s="4">
        <f t="shared" ref="AM3:AM60" si="60">I180</f>
        <v>5</v>
      </c>
      <c r="AN3" s="4">
        <f t="shared" ref="AN3:AN60" si="61">J180</f>
        <v>1</v>
      </c>
      <c r="AO3" s="4">
        <f t="shared" ref="AO3:AO60" si="62">K180</f>
        <v>2E-3</v>
      </c>
      <c r="AP3" s="4">
        <f t="shared" ref="AP3:AP60" si="63">H239</f>
        <v>3</v>
      </c>
      <c r="AQ3" s="4">
        <f t="shared" ref="AQ3:AQ60" si="64">I239</f>
        <v>5</v>
      </c>
      <c r="AR3" s="4">
        <f t="shared" ref="AR3:AR60" si="65">J239</f>
        <v>1</v>
      </c>
      <c r="AS3" s="4">
        <f t="shared" ref="AS3:AS60" si="66">K239</f>
        <v>2E-3</v>
      </c>
      <c r="AT3" s="4">
        <f t="shared" ref="AT3:AT60" si="67">H298</f>
        <v>3</v>
      </c>
      <c r="AU3" s="4">
        <f t="shared" ref="AU3:AU60" si="68">I298</f>
        <v>5</v>
      </c>
      <c r="AV3" s="4">
        <f t="shared" ref="AV3:AV60" si="69">J298</f>
        <v>1</v>
      </c>
      <c r="AW3" s="4">
        <f t="shared" ref="AW3:AW60" si="70">K298</f>
        <v>2E-3</v>
      </c>
      <c r="AX3" s="4">
        <f t="shared" ref="AX3:AX60" si="71">H357</f>
        <v>3</v>
      </c>
      <c r="AY3" s="4">
        <f t="shared" ref="AY3:AY60" si="72">I357</f>
        <v>5</v>
      </c>
      <c r="AZ3" s="4">
        <f t="shared" ref="AZ3:AZ60" si="73">J357</f>
        <v>1</v>
      </c>
      <c r="BA3" s="4">
        <f t="shared" ref="BA3:BA60" si="74">K357</f>
        <v>2E-3</v>
      </c>
      <c r="BB3" s="4">
        <f t="shared" ref="BB3:BB60" si="75">H416</f>
        <v>3</v>
      </c>
      <c r="BC3" s="4">
        <f t="shared" ref="BC3:BC60" si="76">I416</f>
        <v>5</v>
      </c>
      <c r="BD3" s="4">
        <f t="shared" ref="BD3:BD60" si="77">J416</f>
        <v>1</v>
      </c>
      <c r="BE3" s="4">
        <f t="shared" ref="BE3:BE60" si="78">K416</f>
        <v>1E-3</v>
      </c>
      <c r="BF3" s="4">
        <f t="shared" ref="BF3:BF60" si="79">H475</f>
        <v>3</v>
      </c>
      <c r="BG3" s="4">
        <f t="shared" ref="BG3:BG60" si="80">I475</f>
        <v>5</v>
      </c>
      <c r="BH3" s="4">
        <f t="shared" ref="BH3:BH60" si="81">J475</f>
        <v>1</v>
      </c>
      <c r="BI3" s="4">
        <f t="shared" ref="BI3:BI60" si="82">K475</f>
        <v>2E-3</v>
      </c>
      <c r="BJ3" s="4">
        <f t="shared" ref="BJ3:BJ60" si="83">H534</f>
        <v>3</v>
      </c>
      <c r="BK3" s="4">
        <f t="shared" ref="BK3:BK60" si="84">I534</f>
        <v>5</v>
      </c>
      <c r="BL3" s="4">
        <f t="shared" ref="BL3:BL60" si="85">J534</f>
        <v>1</v>
      </c>
      <c r="BM3" s="4">
        <f t="shared" ref="BM3:BM60" si="86">K534</f>
        <v>6.0000000000000001E-3</v>
      </c>
    </row>
    <row r="4" spans="1:65" x14ac:dyDescent="0.25">
      <c r="A4" s="2" t="s">
        <v>5</v>
      </c>
      <c r="B4" s="2">
        <v>9</v>
      </c>
      <c r="C4" s="2">
        <v>5</v>
      </c>
      <c r="D4" s="2">
        <v>2</v>
      </c>
      <c r="E4" s="2">
        <v>4</v>
      </c>
      <c r="F4" s="2">
        <v>1</v>
      </c>
      <c r="H4" s="2">
        <v>2</v>
      </c>
      <c r="I4" s="2">
        <v>4</v>
      </c>
      <c r="J4" s="2">
        <v>1</v>
      </c>
      <c r="K4" s="2">
        <v>1E-3</v>
      </c>
      <c r="M4" s="7">
        <f t="shared" si="39"/>
        <v>1</v>
      </c>
      <c r="N4" s="7">
        <f t="shared" si="40"/>
        <v>1</v>
      </c>
      <c r="O4" s="7">
        <f t="shared" si="41"/>
        <v>1</v>
      </c>
      <c r="P4" s="5">
        <f t="shared" si="42"/>
        <v>2</v>
      </c>
      <c r="Q4" s="5">
        <f t="shared" si="25"/>
        <v>2</v>
      </c>
      <c r="R4" s="5">
        <f t="shared" si="26"/>
        <v>4</v>
      </c>
      <c r="S4" s="5">
        <f t="shared" si="27"/>
        <v>4</v>
      </c>
      <c r="T4" s="5">
        <f t="shared" si="43"/>
        <v>0</v>
      </c>
      <c r="U4" s="5">
        <f t="shared" si="44"/>
        <v>0</v>
      </c>
      <c r="V4" s="5">
        <f t="shared" si="45"/>
        <v>0</v>
      </c>
      <c r="W4" s="5">
        <f t="shared" si="46"/>
        <v>0</v>
      </c>
      <c r="X4" s="5">
        <f t="shared" si="28"/>
        <v>2.1000000000000003E-3</v>
      </c>
      <c r="Z4" s="1">
        <f t="shared" si="47"/>
        <v>2</v>
      </c>
      <c r="AA4" s="1">
        <f t="shared" si="48"/>
        <v>4</v>
      </c>
      <c r="AB4" s="1">
        <f t="shared" si="49"/>
        <v>1</v>
      </c>
      <c r="AC4" s="1">
        <f t="shared" si="50"/>
        <v>1E-3</v>
      </c>
      <c r="AD4" s="4">
        <f t="shared" si="51"/>
        <v>2</v>
      </c>
      <c r="AE4" s="4">
        <f t="shared" si="52"/>
        <v>4</v>
      </c>
      <c r="AF4" s="4">
        <f t="shared" si="53"/>
        <v>1</v>
      </c>
      <c r="AG4" s="4">
        <f t="shared" si="54"/>
        <v>2E-3</v>
      </c>
      <c r="AH4" s="4">
        <f t="shared" si="55"/>
        <v>2</v>
      </c>
      <c r="AI4" s="4">
        <f t="shared" si="56"/>
        <v>4</v>
      </c>
      <c r="AJ4" s="4">
        <f t="shared" si="57"/>
        <v>1</v>
      </c>
      <c r="AK4" s="4">
        <f t="shared" si="58"/>
        <v>2E-3</v>
      </c>
      <c r="AL4" s="4">
        <f t="shared" si="59"/>
        <v>2</v>
      </c>
      <c r="AM4" s="4">
        <f t="shared" si="60"/>
        <v>4</v>
      </c>
      <c r="AN4" s="4">
        <f t="shared" si="61"/>
        <v>1</v>
      </c>
      <c r="AO4" s="4">
        <f t="shared" si="62"/>
        <v>5.0000000000000001E-3</v>
      </c>
      <c r="AP4" s="4">
        <f t="shared" si="63"/>
        <v>2</v>
      </c>
      <c r="AQ4" s="4">
        <f t="shared" si="64"/>
        <v>4</v>
      </c>
      <c r="AR4" s="4">
        <f t="shared" si="65"/>
        <v>1</v>
      </c>
      <c r="AS4" s="4">
        <f t="shared" si="66"/>
        <v>2E-3</v>
      </c>
      <c r="AT4" s="4">
        <f t="shared" si="67"/>
        <v>2</v>
      </c>
      <c r="AU4" s="4">
        <f t="shared" si="68"/>
        <v>4</v>
      </c>
      <c r="AV4" s="4">
        <f t="shared" si="69"/>
        <v>1</v>
      </c>
      <c r="AW4" s="4">
        <f t="shared" si="70"/>
        <v>1E-3</v>
      </c>
      <c r="AX4" s="4">
        <f t="shared" si="71"/>
        <v>2</v>
      </c>
      <c r="AY4" s="4">
        <f t="shared" si="72"/>
        <v>4</v>
      </c>
      <c r="AZ4" s="4">
        <f t="shared" si="73"/>
        <v>1</v>
      </c>
      <c r="BA4" s="4">
        <f t="shared" si="74"/>
        <v>2E-3</v>
      </c>
      <c r="BB4" s="4">
        <f t="shared" si="75"/>
        <v>2</v>
      </c>
      <c r="BC4" s="4">
        <f t="shared" si="76"/>
        <v>4</v>
      </c>
      <c r="BD4" s="4">
        <f t="shared" si="77"/>
        <v>1</v>
      </c>
      <c r="BE4" s="4">
        <f t="shared" si="78"/>
        <v>2E-3</v>
      </c>
      <c r="BF4" s="4">
        <f t="shared" si="79"/>
        <v>2</v>
      </c>
      <c r="BG4" s="4">
        <f t="shared" si="80"/>
        <v>4</v>
      </c>
      <c r="BH4" s="4">
        <f t="shared" si="81"/>
        <v>1</v>
      </c>
      <c r="BI4" s="4">
        <f t="shared" si="82"/>
        <v>2E-3</v>
      </c>
      <c r="BJ4" s="4">
        <f t="shared" si="83"/>
        <v>2</v>
      </c>
      <c r="BK4" s="4">
        <f t="shared" si="84"/>
        <v>4</v>
      </c>
      <c r="BL4" s="4">
        <f t="shared" si="85"/>
        <v>1</v>
      </c>
      <c r="BM4" s="4">
        <f t="shared" si="86"/>
        <v>2E-3</v>
      </c>
    </row>
    <row r="5" spans="1:65" x14ac:dyDescent="0.25">
      <c r="A5" s="2" t="s">
        <v>5</v>
      </c>
      <c r="B5" s="2">
        <v>9</v>
      </c>
      <c r="C5" s="2">
        <v>6</v>
      </c>
      <c r="D5" s="2">
        <v>2</v>
      </c>
      <c r="E5" s="2">
        <v>3</v>
      </c>
      <c r="F5" s="2">
        <v>1</v>
      </c>
      <c r="H5" s="2">
        <v>2</v>
      </c>
      <c r="I5" s="2">
        <v>3</v>
      </c>
      <c r="J5" s="2">
        <v>1</v>
      </c>
      <c r="K5" s="2">
        <v>1E-3</v>
      </c>
      <c r="M5" s="7">
        <f t="shared" si="39"/>
        <v>1</v>
      </c>
      <c r="N5" s="7">
        <f t="shared" si="40"/>
        <v>1</v>
      </c>
      <c r="O5" s="7">
        <f t="shared" si="41"/>
        <v>1</v>
      </c>
      <c r="P5" s="5">
        <f t="shared" si="42"/>
        <v>2</v>
      </c>
      <c r="Q5" s="5">
        <f t="shared" si="25"/>
        <v>2</v>
      </c>
      <c r="R5" s="5">
        <f t="shared" si="26"/>
        <v>3</v>
      </c>
      <c r="S5" s="5">
        <f t="shared" si="27"/>
        <v>3</v>
      </c>
      <c r="T5" s="5">
        <f t="shared" si="43"/>
        <v>0</v>
      </c>
      <c r="U5" s="5">
        <f t="shared" si="44"/>
        <v>0</v>
      </c>
      <c r="V5" s="5">
        <f t="shared" si="45"/>
        <v>0</v>
      </c>
      <c r="W5" s="5">
        <f t="shared" si="46"/>
        <v>0</v>
      </c>
      <c r="X5" s="5">
        <f t="shared" si="28"/>
        <v>2.1000000000000003E-3</v>
      </c>
      <c r="Z5" s="1">
        <f t="shared" si="47"/>
        <v>2</v>
      </c>
      <c r="AA5" s="1">
        <f t="shared" si="48"/>
        <v>3</v>
      </c>
      <c r="AB5" s="1">
        <f t="shared" si="49"/>
        <v>1</v>
      </c>
      <c r="AC5" s="1">
        <f t="shared" si="50"/>
        <v>1E-3</v>
      </c>
      <c r="AD5" s="4">
        <f t="shared" si="51"/>
        <v>2</v>
      </c>
      <c r="AE5" s="4">
        <f t="shared" si="52"/>
        <v>3</v>
      </c>
      <c r="AF5" s="4">
        <f t="shared" si="53"/>
        <v>1</v>
      </c>
      <c r="AG5" s="4">
        <f t="shared" si="54"/>
        <v>2E-3</v>
      </c>
      <c r="AH5" s="4">
        <f t="shared" si="55"/>
        <v>2</v>
      </c>
      <c r="AI5" s="4">
        <f t="shared" si="56"/>
        <v>3</v>
      </c>
      <c r="AJ5" s="4">
        <f t="shared" si="57"/>
        <v>1</v>
      </c>
      <c r="AK5" s="4">
        <f t="shared" si="58"/>
        <v>2E-3</v>
      </c>
      <c r="AL5" s="4">
        <f t="shared" si="59"/>
        <v>2</v>
      </c>
      <c r="AM5" s="4">
        <f t="shared" si="60"/>
        <v>3</v>
      </c>
      <c r="AN5" s="4">
        <f t="shared" si="61"/>
        <v>1</v>
      </c>
      <c r="AO5" s="4">
        <f t="shared" si="62"/>
        <v>2E-3</v>
      </c>
      <c r="AP5" s="4">
        <f t="shared" si="63"/>
        <v>2</v>
      </c>
      <c r="AQ5" s="4">
        <f t="shared" si="64"/>
        <v>3</v>
      </c>
      <c r="AR5" s="4">
        <f t="shared" si="65"/>
        <v>1</v>
      </c>
      <c r="AS5" s="4">
        <f t="shared" si="66"/>
        <v>2E-3</v>
      </c>
      <c r="AT5" s="4">
        <f t="shared" si="67"/>
        <v>2</v>
      </c>
      <c r="AU5" s="4">
        <f t="shared" si="68"/>
        <v>3</v>
      </c>
      <c r="AV5" s="4">
        <f t="shared" si="69"/>
        <v>1</v>
      </c>
      <c r="AW5" s="4">
        <f t="shared" si="70"/>
        <v>2E-3</v>
      </c>
      <c r="AX5" s="4">
        <f t="shared" si="71"/>
        <v>2</v>
      </c>
      <c r="AY5" s="4">
        <f t="shared" si="72"/>
        <v>3</v>
      </c>
      <c r="AZ5" s="4">
        <f t="shared" si="73"/>
        <v>1</v>
      </c>
      <c r="BA5" s="4">
        <f t="shared" si="74"/>
        <v>2E-3</v>
      </c>
      <c r="BB5" s="4">
        <f t="shared" si="75"/>
        <v>2</v>
      </c>
      <c r="BC5" s="4">
        <f t="shared" si="76"/>
        <v>3</v>
      </c>
      <c r="BD5" s="4">
        <f t="shared" si="77"/>
        <v>1</v>
      </c>
      <c r="BE5" s="4">
        <f t="shared" si="78"/>
        <v>2E-3</v>
      </c>
      <c r="BF5" s="4">
        <f t="shared" si="79"/>
        <v>2</v>
      </c>
      <c r="BG5" s="4">
        <f t="shared" si="80"/>
        <v>3</v>
      </c>
      <c r="BH5" s="4">
        <f t="shared" si="81"/>
        <v>1</v>
      </c>
      <c r="BI5" s="4">
        <f t="shared" si="82"/>
        <v>2E-3</v>
      </c>
      <c r="BJ5" s="4">
        <f t="shared" si="83"/>
        <v>2</v>
      </c>
      <c r="BK5" s="4">
        <f t="shared" si="84"/>
        <v>3</v>
      </c>
      <c r="BL5" s="4">
        <f t="shared" si="85"/>
        <v>1</v>
      </c>
      <c r="BM5" s="4">
        <f t="shared" si="86"/>
        <v>4.0000000000000001E-3</v>
      </c>
    </row>
    <row r="6" spans="1:65" x14ac:dyDescent="0.25">
      <c r="A6" s="2" t="s">
        <v>5</v>
      </c>
      <c r="B6" s="2">
        <v>9</v>
      </c>
      <c r="C6" s="2">
        <v>7</v>
      </c>
      <c r="D6" s="2">
        <v>2</v>
      </c>
      <c r="E6" s="2">
        <v>3</v>
      </c>
      <c r="F6" s="2">
        <v>1</v>
      </c>
      <c r="H6" s="2">
        <v>2</v>
      </c>
      <c r="I6" s="2">
        <v>3</v>
      </c>
      <c r="J6" s="2">
        <v>1</v>
      </c>
      <c r="K6" s="2">
        <v>4.0000000000000001E-3</v>
      </c>
      <c r="M6" s="7">
        <f t="shared" si="39"/>
        <v>1</v>
      </c>
      <c r="N6" s="7">
        <f t="shared" si="40"/>
        <v>1</v>
      </c>
      <c r="O6" s="7">
        <f t="shared" si="41"/>
        <v>1</v>
      </c>
      <c r="P6" s="5">
        <f t="shared" si="42"/>
        <v>2</v>
      </c>
      <c r="Q6" s="5">
        <f t="shared" si="25"/>
        <v>2</v>
      </c>
      <c r="R6" s="5">
        <f t="shared" si="26"/>
        <v>3</v>
      </c>
      <c r="S6" s="5">
        <f t="shared" si="27"/>
        <v>3</v>
      </c>
      <c r="T6" s="5">
        <f t="shared" si="43"/>
        <v>0</v>
      </c>
      <c r="U6" s="5">
        <f t="shared" si="44"/>
        <v>0</v>
      </c>
      <c r="V6" s="5">
        <f t="shared" si="45"/>
        <v>0</v>
      </c>
      <c r="W6" s="5">
        <f t="shared" si="46"/>
        <v>0</v>
      </c>
      <c r="X6" s="5">
        <f t="shared" si="28"/>
        <v>3.4000000000000002E-3</v>
      </c>
      <c r="Z6" s="1">
        <f t="shared" si="47"/>
        <v>2</v>
      </c>
      <c r="AA6" s="1">
        <f t="shared" si="48"/>
        <v>3</v>
      </c>
      <c r="AB6" s="1">
        <f t="shared" si="49"/>
        <v>1</v>
      </c>
      <c r="AC6" s="1">
        <f t="shared" si="50"/>
        <v>4.0000000000000001E-3</v>
      </c>
      <c r="AD6" s="4">
        <f t="shared" si="51"/>
        <v>2</v>
      </c>
      <c r="AE6" s="4">
        <f t="shared" si="52"/>
        <v>3</v>
      </c>
      <c r="AF6" s="4">
        <f t="shared" si="53"/>
        <v>1</v>
      </c>
      <c r="AG6" s="4">
        <f t="shared" si="54"/>
        <v>3.0000000000000001E-3</v>
      </c>
      <c r="AH6" s="4">
        <f t="shared" si="55"/>
        <v>2</v>
      </c>
      <c r="AI6" s="4">
        <f t="shared" si="56"/>
        <v>3</v>
      </c>
      <c r="AJ6" s="4">
        <f t="shared" si="57"/>
        <v>1</v>
      </c>
      <c r="AK6" s="4">
        <f t="shared" si="58"/>
        <v>5.0000000000000001E-3</v>
      </c>
      <c r="AL6" s="4">
        <f t="shared" si="59"/>
        <v>2</v>
      </c>
      <c r="AM6" s="4">
        <f t="shared" si="60"/>
        <v>3</v>
      </c>
      <c r="AN6" s="4">
        <f t="shared" si="61"/>
        <v>1</v>
      </c>
      <c r="AO6" s="4">
        <f t="shared" si="62"/>
        <v>4.0000000000000001E-3</v>
      </c>
      <c r="AP6" s="4">
        <f t="shared" si="63"/>
        <v>2</v>
      </c>
      <c r="AQ6" s="4">
        <f t="shared" si="64"/>
        <v>3</v>
      </c>
      <c r="AR6" s="4">
        <f t="shared" si="65"/>
        <v>1</v>
      </c>
      <c r="AS6" s="4">
        <f t="shared" si="66"/>
        <v>2E-3</v>
      </c>
      <c r="AT6" s="4">
        <f t="shared" si="67"/>
        <v>2</v>
      </c>
      <c r="AU6" s="4">
        <f t="shared" si="68"/>
        <v>3</v>
      </c>
      <c r="AV6" s="4">
        <f t="shared" si="69"/>
        <v>1</v>
      </c>
      <c r="AW6" s="4">
        <f t="shared" si="70"/>
        <v>3.0000000000000001E-3</v>
      </c>
      <c r="AX6" s="4">
        <f t="shared" si="71"/>
        <v>2</v>
      </c>
      <c r="AY6" s="4">
        <f t="shared" si="72"/>
        <v>3</v>
      </c>
      <c r="AZ6" s="4">
        <f t="shared" si="73"/>
        <v>1</v>
      </c>
      <c r="BA6" s="4">
        <f t="shared" si="74"/>
        <v>3.0000000000000001E-3</v>
      </c>
      <c r="BB6" s="4">
        <f t="shared" si="75"/>
        <v>2</v>
      </c>
      <c r="BC6" s="4">
        <f t="shared" si="76"/>
        <v>3</v>
      </c>
      <c r="BD6" s="4">
        <f t="shared" si="77"/>
        <v>1</v>
      </c>
      <c r="BE6" s="4">
        <f t="shared" si="78"/>
        <v>3.0000000000000001E-3</v>
      </c>
      <c r="BF6" s="4">
        <f t="shared" si="79"/>
        <v>2</v>
      </c>
      <c r="BG6" s="4">
        <f t="shared" si="80"/>
        <v>3</v>
      </c>
      <c r="BH6" s="4">
        <f t="shared" si="81"/>
        <v>1</v>
      </c>
      <c r="BI6" s="4">
        <f t="shared" si="82"/>
        <v>4.0000000000000001E-3</v>
      </c>
      <c r="BJ6" s="4">
        <f t="shared" si="83"/>
        <v>2</v>
      </c>
      <c r="BK6" s="4">
        <f t="shared" si="84"/>
        <v>3</v>
      </c>
      <c r="BL6" s="4">
        <f t="shared" si="85"/>
        <v>1</v>
      </c>
      <c r="BM6" s="4">
        <f t="shared" si="86"/>
        <v>3.0000000000000001E-3</v>
      </c>
    </row>
    <row r="7" spans="1:65" x14ac:dyDescent="0.25">
      <c r="A7" s="2" t="s">
        <v>6</v>
      </c>
      <c r="B7" s="2">
        <v>12</v>
      </c>
      <c r="C7" s="2">
        <v>4</v>
      </c>
      <c r="D7" s="2">
        <v>4</v>
      </c>
      <c r="E7" s="2">
        <v>7</v>
      </c>
      <c r="F7" s="2">
        <v>1</v>
      </c>
      <c r="H7" s="2">
        <v>4</v>
      </c>
      <c r="I7" s="2">
        <v>7</v>
      </c>
      <c r="J7" s="2">
        <v>1</v>
      </c>
      <c r="K7" s="2">
        <v>2E-3</v>
      </c>
      <c r="M7" s="7">
        <f t="shared" si="39"/>
        <v>1</v>
      </c>
      <c r="N7" s="7">
        <f t="shared" si="40"/>
        <v>1</v>
      </c>
      <c r="O7" s="7">
        <f t="shared" si="41"/>
        <v>1</v>
      </c>
      <c r="P7" s="5">
        <f t="shared" si="42"/>
        <v>4</v>
      </c>
      <c r="Q7" s="5">
        <f t="shared" si="25"/>
        <v>4</v>
      </c>
      <c r="R7" s="5">
        <f t="shared" si="26"/>
        <v>7</v>
      </c>
      <c r="S7" s="5">
        <f t="shared" si="27"/>
        <v>7</v>
      </c>
      <c r="T7" s="5">
        <f t="shared" si="43"/>
        <v>0</v>
      </c>
      <c r="U7" s="5">
        <f t="shared" si="44"/>
        <v>0</v>
      </c>
      <c r="V7" s="5">
        <f t="shared" si="45"/>
        <v>0</v>
      </c>
      <c r="W7" s="5">
        <f t="shared" si="46"/>
        <v>0</v>
      </c>
      <c r="X7" s="5">
        <f t="shared" si="28"/>
        <v>1.7000000000000001E-3</v>
      </c>
      <c r="Z7" s="1">
        <f t="shared" si="47"/>
        <v>4</v>
      </c>
      <c r="AA7" s="1">
        <f t="shared" si="48"/>
        <v>7</v>
      </c>
      <c r="AB7" s="1">
        <f t="shared" si="49"/>
        <v>1</v>
      </c>
      <c r="AC7" s="1">
        <f t="shared" si="50"/>
        <v>2E-3</v>
      </c>
      <c r="AD7" s="4">
        <f t="shared" si="51"/>
        <v>4</v>
      </c>
      <c r="AE7" s="4">
        <f t="shared" si="52"/>
        <v>7</v>
      </c>
      <c r="AF7" s="4">
        <f t="shared" si="53"/>
        <v>1</v>
      </c>
      <c r="AG7" s="4">
        <f t="shared" si="54"/>
        <v>1E-3</v>
      </c>
      <c r="AH7" s="4">
        <f t="shared" si="55"/>
        <v>4</v>
      </c>
      <c r="AI7" s="4">
        <f t="shared" si="56"/>
        <v>7</v>
      </c>
      <c r="AJ7" s="4">
        <f t="shared" si="57"/>
        <v>1</v>
      </c>
      <c r="AK7" s="4">
        <f t="shared" si="58"/>
        <v>2E-3</v>
      </c>
      <c r="AL7" s="4">
        <f t="shared" si="59"/>
        <v>4</v>
      </c>
      <c r="AM7" s="4">
        <f t="shared" si="60"/>
        <v>7</v>
      </c>
      <c r="AN7" s="4">
        <f t="shared" si="61"/>
        <v>1</v>
      </c>
      <c r="AO7" s="4">
        <f t="shared" si="62"/>
        <v>2E-3</v>
      </c>
      <c r="AP7" s="4">
        <f t="shared" si="63"/>
        <v>4</v>
      </c>
      <c r="AQ7" s="4">
        <f t="shared" si="64"/>
        <v>7</v>
      </c>
      <c r="AR7" s="4">
        <f t="shared" si="65"/>
        <v>1</v>
      </c>
      <c r="AS7" s="4">
        <f t="shared" si="66"/>
        <v>2E-3</v>
      </c>
      <c r="AT7" s="4">
        <f t="shared" si="67"/>
        <v>4</v>
      </c>
      <c r="AU7" s="4">
        <f t="shared" si="68"/>
        <v>7</v>
      </c>
      <c r="AV7" s="4">
        <f t="shared" si="69"/>
        <v>1</v>
      </c>
      <c r="AW7" s="4">
        <f t="shared" si="70"/>
        <v>2E-3</v>
      </c>
      <c r="AX7" s="4">
        <f t="shared" si="71"/>
        <v>4</v>
      </c>
      <c r="AY7" s="4">
        <f t="shared" si="72"/>
        <v>7</v>
      </c>
      <c r="AZ7" s="4">
        <f t="shared" si="73"/>
        <v>1</v>
      </c>
      <c r="BA7" s="4">
        <f t="shared" si="74"/>
        <v>2E-3</v>
      </c>
      <c r="BB7" s="4">
        <f t="shared" si="75"/>
        <v>4</v>
      </c>
      <c r="BC7" s="4">
        <f t="shared" si="76"/>
        <v>7</v>
      </c>
      <c r="BD7" s="4">
        <f t="shared" si="77"/>
        <v>1</v>
      </c>
      <c r="BE7" s="4">
        <f t="shared" si="78"/>
        <v>1E-3</v>
      </c>
      <c r="BF7" s="4">
        <f t="shared" si="79"/>
        <v>4</v>
      </c>
      <c r="BG7" s="4">
        <f t="shared" si="80"/>
        <v>7</v>
      </c>
      <c r="BH7" s="4">
        <f t="shared" si="81"/>
        <v>1</v>
      </c>
      <c r="BI7" s="4">
        <f t="shared" si="82"/>
        <v>1E-3</v>
      </c>
      <c r="BJ7" s="4">
        <f t="shared" si="83"/>
        <v>4</v>
      </c>
      <c r="BK7" s="4">
        <f t="shared" si="84"/>
        <v>7</v>
      </c>
      <c r="BL7" s="4">
        <f t="shared" si="85"/>
        <v>1</v>
      </c>
      <c r="BM7" s="4">
        <f t="shared" si="86"/>
        <v>2E-3</v>
      </c>
    </row>
    <row r="8" spans="1:65" x14ac:dyDescent="0.25">
      <c r="A8" s="2" t="s">
        <v>6</v>
      </c>
      <c r="B8" s="2">
        <v>12</v>
      </c>
      <c r="C8" s="2">
        <v>5</v>
      </c>
      <c r="D8" s="2">
        <v>3</v>
      </c>
      <c r="E8" s="2">
        <v>6</v>
      </c>
      <c r="F8" s="2">
        <v>1</v>
      </c>
      <c r="H8" s="2">
        <v>3</v>
      </c>
      <c r="I8" s="2">
        <v>6</v>
      </c>
      <c r="J8" s="2">
        <v>1</v>
      </c>
      <c r="K8" s="2">
        <v>2.044</v>
      </c>
      <c r="M8" s="7">
        <f t="shared" si="39"/>
        <v>1</v>
      </c>
      <c r="N8" s="7">
        <f t="shared" si="40"/>
        <v>1</v>
      </c>
      <c r="O8" s="7">
        <f t="shared" si="41"/>
        <v>1</v>
      </c>
      <c r="P8" s="5">
        <f t="shared" si="42"/>
        <v>3</v>
      </c>
      <c r="Q8" s="5">
        <f t="shared" si="25"/>
        <v>3</v>
      </c>
      <c r="R8" s="5">
        <f t="shared" si="26"/>
        <v>6</v>
      </c>
      <c r="S8" s="5">
        <f t="shared" si="27"/>
        <v>6</v>
      </c>
      <c r="T8" s="5">
        <f t="shared" si="43"/>
        <v>0</v>
      </c>
      <c r="U8" s="5">
        <f t="shared" si="44"/>
        <v>0</v>
      </c>
      <c r="V8" s="5">
        <f t="shared" si="45"/>
        <v>0</v>
      </c>
      <c r="W8" s="5">
        <f t="shared" si="46"/>
        <v>0</v>
      </c>
      <c r="X8" s="5">
        <f t="shared" si="28"/>
        <v>0.75119999999999998</v>
      </c>
      <c r="Z8" s="1">
        <f t="shared" si="47"/>
        <v>3</v>
      </c>
      <c r="AA8" s="1">
        <f t="shared" si="48"/>
        <v>6</v>
      </c>
      <c r="AB8" s="1">
        <f t="shared" si="49"/>
        <v>1</v>
      </c>
      <c r="AC8" s="1">
        <f t="shared" si="50"/>
        <v>2.044</v>
      </c>
      <c r="AD8" s="4">
        <f t="shared" si="51"/>
        <v>3</v>
      </c>
      <c r="AE8" s="4">
        <f t="shared" si="52"/>
        <v>6</v>
      </c>
      <c r="AF8" s="4">
        <f t="shared" si="53"/>
        <v>1</v>
      </c>
      <c r="AG8" s="4">
        <f t="shared" si="54"/>
        <v>0.67</v>
      </c>
      <c r="AH8" s="4">
        <f t="shared" si="55"/>
        <v>3</v>
      </c>
      <c r="AI8" s="4">
        <f t="shared" si="56"/>
        <v>6</v>
      </c>
      <c r="AJ8" s="4">
        <f t="shared" si="57"/>
        <v>1</v>
      </c>
      <c r="AK8" s="4">
        <f t="shared" si="58"/>
        <v>0.74399999999999999</v>
      </c>
      <c r="AL8" s="4">
        <f t="shared" si="59"/>
        <v>3</v>
      </c>
      <c r="AM8" s="4">
        <f t="shared" si="60"/>
        <v>6</v>
      </c>
      <c r="AN8" s="4">
        <f t="shared" si="61"/>
        <v>1</v>
      </c>
      <c r="AO8" s="4">
        <f t="shared" si="62"/>
        <v>0.54100000000000004</v>
      </c>
      <c r="AP8" s="4">
        <f t="shared" si="63"/>
        <v>3</v>
      </c>
      <c r="AQ8" s="4">
        <f t="shared" si="64"/>
        <v>6</v>
      </c>
      <c r="AR8" s="4">
        <f t="shared" si="65"/>
        <v>1</v>
      </c>
      <c r="AS8" s="4">
        <f t="shared" si="66"/>
        <v>0.61399999999999999</v>
      </c>
      <c r="AT8" s="4">
        <f t="shared" si="67"/>
        <v>3</v>
      </c>
      <c r="AU8" s="4">
        <f t="shared" si="68"/>
        <v>6</v>
      </c>
      <c r="AV8" s="4">
        <f t="shared" si="69"/>
        <v>1</v>
      </c>
      <c r="AW8" s="4">
        <f t="shared" si="70"/>
        <v>0.55900000000000005</v>
      </c>
      <c r="AX8" s="4">
        <f t="shared" si="71"/>
        <v>3</v>
      </c>
      <c r="AY8" s="4">
        <f t="shared" si="72"/>
        <v>6</v>
      </c>
      <c r="AZ8" s="4">
        <f t="shared" si="73"/>
        <v>1</v>
      </c>
      <c r="BA8" s="4">
        <f t="shared" si="74"/>
        <v>0.70099999999999996</v>
      </c>
      <c r="BB8" s="4">
        <f t="shared" si="75"/>
        <v>3</v>
      </c>
      <c r="BC8" s="4">
        <f t="shared" si="76"/>
        <v>6</v>
      </c>
      <c r="BD8" s="4">
        <f t="shared" si="77"/>
        <v>1</v>
      </c>
      <c r="BE8" s="4">
        <f t="shared" si="78"/>
        <v>0.54500000000000004</v>
      </c>
      <c r="BF8" s="4">
        <f t="shared" si="79"/>
        <v>3</v>
      </c>
      <c r="BG8" s="4">
        <f t="shared" si="80"/>
        <v>6</v>
      </c>
      <c r="BH8" s="4">
        <f t="shared" si="81"/>
        <v>1</v>
      </c>
      <c r="BI8" s="4">
        <f t="shared" si="82"/>
        <v>0.50700000000000001</v>
      </c>
      <c r="BJ8" s="4">
        <f t="shared" si="83"/>
        <v>3</v>
      </c>
      <c r="BK8" s="4">
        <f t="shared" si="84"/>
        <v>6</v>
      </c>
      <c r="BL8" s="4">
        <f t="shared" si="85"/>
        <v>1</v>
      </c>
      <c r="BM8" s="4">
        <f t="shared" si="86"/>
        <v>0.58699999999999997</v>
      </c>
    </row>
    <row r="9" spans="1:65" x14ac:dyDescent="0.25">
      <c r="A9" s="2" t="s">
        <v>6</v>
      </c>
      <c r="B9" s="2">
        <v>12</v>
      </c>
      <c r="C9" s="2">
        <v>6</v>
      </c>
      <c r="D9" s="2">
        <v>3</v>
      </c>
      <c r="E9" s="2">
        <v>5</v>
      </c>
      <c r="F9" s="2">
        <v>1</v>
      </c>
      <c r="H9" s="2">
        <v>3</v>
      </c>
      <c r="I9" s="2">
        <v>5</v>
      </c>
      <c r="J9" s="2">
        <v>1</v>
      </c>
      <c r="K9" s="2">
        <v>3.0000000000000001E-3</v>
      </c>
      <c r="M9" s="7">
        <f t="shared" si="39"/>
        <v>1</v>
      </c>
      <c r="N9" s="7">
        <f t="shared" si="40"/>
        <v>1</v>
      </c>
      <c r="O9" s="7">
        <f t="shared" si="41"/>
        <v>1</v>
      </c>
      <c r="P9" s="5">
        <f t="shared" si="42"/>
        <v>3</v>
      </c>
      <c r="Q9" s="5">
        <f t="shared" si="25"/>
        <v>3</v>
      </c>
      <c r="R9" s="5">
        <f t="shared" si="26"/>
        <v>5</v>
      </c>
      <c r="S9" s="5">
        <f t="shared" si="27"/>
        <v>5</v>
      </c>
      <c r="T9" s="5">
        <f t="shared" si="43"/>
        <v>0</v>
      </c>
      <c r="U9" s="5">
        <f t="shared" si="44"/>
        <v>0</v>
      </c>
      <c r="V9" s="5">
        <f t="shared" si="45"/>
        <v>0</v>
      </c>
      <c r="W9" s="5">
        <f t="shared" si="46"/>
        <v>0</v>
      </c>
      <c r="X9" s="5">
        <f t="shared" si="28"/>
        <v>1.9000000000000002E-3</v>
      </c>
      <c r="Z9" s="1">
        <f t="shared" si="47"/>
        <v>3</v>
      </c>
      <c r="AA9" s="1">
        <f t="shared" si="48"/>
        <v>5</v>
      </c>
      <c r="AB9" s="1">
        <f t="shared" si="49"/>
        <v>1</v>
      </c>
      <c r="AC9" s="1">
        <f t="shared" si="50"/>
        <v>3.0000000000000001E-3</v>
      </c>
      <c r="AD9" s="4">
        <f t="shared" si="51"/>
        <v>3</v>
      </c>
      <c r="AE9" s="4">
        <f t="shared" si="52"/>
        <v>5</v>
      </c>
      <c r="AF9" s="4">
        <f t="shared" si="53"/>
        <v>1</v>
      </c>
      <c r="AG9" s="4">
        <f t="shared" si="54"/>
        <v>2E-3</v>
      </c>
      <c r="AH9" s="4">
        <f t="shared" si="55"/>
        <v>3</v>
      </c>
      <c r="AI9" s="4">
        <f t="shared" si="56"/>
        <v>5</v>
      </c>
      <c r="AJ9" s="4">
        <f t="shared" si="57"/>
        <v>1</v>
      </c>
      <c r="AK9" s="4">
        <f t="shared" si="58"/>
        <v>2E-3</v>
      </c>
      <c r="AL9" s="4">
        <f t="shared" si="59"/>
        <v>3</v>
      </c>
      <c r="AM9" s="4">
        <f t="shared" si="60"/>
        <v>5</v>
      </c>
      <c r="AN9" s="4">
        <f t="shared" si="61"/>
        <v>1</v>
      </c>
      <c r="AO9" s="4">
        <f t="shared" si="62"/>
        <v>1E-3</v>
      </c>
      <c r="AP9" s="4">
        <f t="shared" si="63"/>
        <v>3</v>
      </c>
      <c r="AQ9" s="4">
        <f t="shared" si="64"/>
        <v>5</v>
      </c>
      <c r="AR9" s="4">
        <f t="shared" si="65"/>
        <v>1</v>
      </c>
      <c r="AS9" s="4">
        <f t="shared" si="66"/>
        <v>2E-3</v>
      </c>
      <c r="AT9" s="4">
        <f t="shared" si="67"/>
        <v>3</v>
      </c>
      <c r="AU9" s="4">
        <f t="shared" si="68"/>
        <v>5</v>
      </c>
      <c r="AV9" s="4">
        <f t="shared" si="69"/>
        <v>1</v>
      </c>
      <c r="AW9" s="4">
        <f t="shared" si="70"/>
        <v>1E-3</v>
      </c>
      <c r="AX9" s="4">
        <f t="shared" si="71"/>
        <v>3</v>
      </c>
      <c r="AY9" s="4">
        <f t="shared" si="72"/>
        <v>5</v>
      </c>
      <c r="AZ9" s="4">
        <f t="shared" si="73"/>
        <v>1</v>
      </c>
      <c r="BA9" s="4">
        <f t="shared" si="74"/>
        <v>3.0000000000000001E-3</v>
      </c>
      <c r="BB9" s="4">
        <f t="shared" si="75"/>
        <v>3</v>
      </c>
      <c r="BC9" s="4">
        <f t="shared" si="76"/>
        <v>5</v>
      </c>
      <c r="BD9" s="4">
        <f t="shared" si="77"/>
        <v>1</v>
      </c>
      <c r="BE9" s="4">
        <f t="shared" si="78"/>
        <v>1E-3</v>
      </c>
      <c r="BF9" s="4">
        <f t="shared" si="79"/>
        <v>3</v>
      </c>
      <c r="BG9" s="4">
        <f t="shared" si="80"/>
        <v>5</v>
      </c>
      <c r="BH9" s="4">
        <f t="shared" si="81"/>
        <v>1</v>
      </c>
      <c r="BI9" s="4">
        <f t="shared" si="82"/>
        <v>2E-3</v>
      </c>
      <c r="BJ9" s="4">
        <f t="shared" si="83"/>
        <v>3</v>
      </c>
      <c r="BK9" s="4">
        <f t="shared" si="84"/>
        <v>5</v>
      </c>
      <c r="BL9" s="4">
        <f t="shared" si="85"/>
        <v>1</v>
      </c>
      <c r="BM9" s="4">
        <f t="shared" si="86"/>
        <v>2E-3</v>
      </c>
    </row>
    <row r="10" spans="1:65" x14ac:dyDescent="0.25">
      <c r="A10" s="2" t="s">
        <v>6</v>
      </c>
      <c r="B10" s="2">
        <v>12</v>
      </c>
      <c r="C10" s="2">
        <v>7</v>
      </c>
      <c r="D10" s="2">
        <v>2</v>
      </c>
      <c r="E10" s="2">
        <v>4</v>
      </c>
      <c r="F10" s="2">
        <v>1</v>
      </c>
      <c r="H10" s="2">
        <v>2</v>
      </c>
      <c r="I10" s="2">
        <v>4</v>
      </c>
      <c r="J10" s="2">
        <v>1</v>
      </c>
      <c r="K10" s="2">
        <v>6.0000000000000001E-3</v>
      </c>
      <c r="M10" s="7">
        <f t="shared" si="39"/>
        <v>1</v>
      </c>
      <c r="N10" s="7">
        <f t="shared" si="40"/>
        <v>1</v>
      </c>
      <c r="O10" s="7">
        <f t="shared" si="41"/>
        <v>1</v>
      </c>
      <c r="P10" s="5">
        <f t="shared" si="42"/>
        <v>2</v>
      </c>
      <c r="Q10" s="5">
        <f t="shared" si="25"/>
        <v>2</v>
      </c>
      <c r="R10" s="5">
        <f t="shared" si="26"/>
        <v>4</v>
      </c>
      <c r="S10" s="5">
        <f t="shared" si="27"/>
        <v>4</v>
      </c>
      <c r="T10" s="5">
        <f t="shared" si="43"/>
        <v>0</v>
      </c>
      <c r="U10" s="5">
        <f t="shared" si="44"/>
        <v>0</v>
      </c>
      <c r="V10" s="5">
        <f t="shared" si="45"/>
        <v>0</v>
      </c>
      <c r="W10" s="5">
        <f t="shared" si="46"/>
        <v>0</v>
      </c>
      <c r="X10" s="5">
        <f t="shared" si="28"/>
        <v>2.6000000000000007E-3</v>
      </c>
      <c r="Z10" s="1">
        <f t="shared" si="47"/>
        <v>2</v>
      </c>
      <c r="AA10" s="1">
        <f t="shared" si="48"/>
        <v>4</v>
      </c>
      <c r="AB10" s="1">
        <f t="shared" si="49"/>
        <v>1</v>
      </c>
      <c r="AC10" s="1">
        <f t="shared" si="50"/>
        <v>6.0000000000000001E-3</v>
      </c>
      <c r="AD10" s="4">
        <f t="shared" si="51"/>
        <v>2</v>
      </c>
      <c r="AE10" s="4">
        <f t="shared" si="52"/>
        <v>4</v>
      </c>
      <c r="AF10" s="4">
        <f t="shared" si="53"/>
        <v>1</v>
      </c>
      <c r="AG10" s="4">
        <f t="shared" si="54"/>
        <v>2E-3</v>
      </c>
      <c r="AH10" s="4">
        <f t="shared" si="55"/>
        <v>2</v>
      </c>
      <c r="AI10" s="4">
        <f t="shared" si="56"/>
        <v>4</v>
      </c>
      <c r="AJ10" s="4">
        <f t="shared" si="57"/>
        <v>1</v>
      </c>
      <c r="AK10" s="4">
        <f t="shared" si="58"/>
        <v>3.0000000000000001E-3</v>
      </c>
      <c r="AL10" s="4">
        <f t="shared" si="59"/>
        <v>2</v>
      </c>
      <c r="AM10" s="4">
        <f t="shared" si="60"/>
        <v>4</v>
      </c>
      <c r="AN10" s="4">
        <f t="shared" si="61"/>
        <v>1</v>
      </c>
      <c r="AO10" s="4">
        <f t="shared" si="62"/>
        <v>2E-3</v>
      </c>
      <c r="AP10" s="4">
        <f t="shared" si="63"/>
        <v>2</v>
      </c>
      <c r="AQ10" s="4">
        <f t="shared" si="64"/>
        <v>4</v>
      </c>
      <c r="AR10" s="4">
        <f t="shared" si="65"/>
        <v>1</v>
      </c>
      <c r="AS10" s="4">
        <f t="shared" si="66"/>
        <v>2E-3</v>
      </c>
      <c r="AT10" s="4">
        <f t="shared" si="67"/>
        <v>2</v>
      </c>
      <c r="AU10" s="4">
        <f t="shared" si="68"/>
        <v>4</v>
      </c>
      <c r="AV10" s="4">
        <f t="shared" si="69"/>
        <v>1</v>
      </c>
      <c r="AW10" s="4">
        <f t="shared" si="70"/>
        <v>2E-3</v>
      </c>
      <c r="AX10" s="4">
        <f t="shared" si="71"/>
        <v>2</v>
      </c>
      <c r="AY10" s="4">
        <f t="shared" si="72"/>
        <v>4</v>
      </c>
      <c r="AZ10" s="4">
        <f t="shared" si="73"/>
        <v>1</v>
      </c>
      <c r="BA10" s="4">
        <f t="shared" si="74"/>
        <v>2E-3</v>
      </c>
      <c r="BB10" s="4">
        <f t="shared" si="75"/>
        <v>2</v>
      </c>
      <c r="BC10" s="4">
        <f t="shared" si="76"/>
        <v>4</v>
      </c>
      <c r="BD10" s="4">
        <f t="shared" si="77"/>
        <v>1</v>
      </c>
      <c r="BE10" s="4">
        <f t="shared" si="78"/>
        <v>2E-3</v>
      </c>
      <c r="BF10" s="4">
        <f t="shared" si="79"/>
        <v>2</v>
      </c>
      <c r="BG10" s="4">
        <f t="shared" si="80"/>
        <v>4</v>
      </c>
      <c r="BH10" s="4">
        <f t="shared" si="81"/>
        <v>1</v>
      </c>
      <c r="BI10" s="4">
        <f t="shared" si="82"/>
        <v>2E-3</v>
      </c>
      <c r="BJ10" s="4">
        <f t="shared" si="83"/>
        <v>2</v>
      </c>
      <c r="BK10" s="4">
        <f t="shared" si="84"/>
        <v>4</v>
      </c>
      <c r="BL10" s="4">
        <f t="shared" si="85"/>
        <v>1</v>
      </c>
      <c r="BM10" s="4">
        <f t="shared" si="86"/>
        <v>3.0000000000000001E-3</v>
      </c>
    </row>
    <row r="11" spans="1:65" x14ac:dyDescent="0.25">
      <c r="A11" s="2" t="s">
        <v>6</v>
      </c>
      <c r="B11" s="2">
        <v>12</v>
      </c>
      <c r="C11" s="2">
        <v>8</v>
      </c>
      <c r="D11" s="2">
        <v>2</v>
      </c>
      <c r="E11" s="2">
        <v>4</v>
      </c>
      <c r="F11" s="2">
        <v>1</v>
      </c>
      <c r="H11" s="2">
        <v>2</v>
      </c>
      <c r="I11" s="2">
        <v>4</v>
      </c>
      <c r="J11" s="2">
        <v>1</v>
      </c>
      <c r="K11" s="2">
        <v>4.0000000000000001E-3</v>
      </c>
      <c r="M11" s="7">
        <f t="shared" si="39"/>
        <v>1</v>
      </c>
      <c r="N11" s="7">
        <f t="shared" si="40"/>
        <v>1</v>
      </c>
      <c r="O11" s="7">
        <f t="shared" si="41"/>
        <v>1</v>
      </c>
      <c r="P11" s="5">
        <f t="shared" si="42"/>
        <v>2</v>
      </c>
      <c r="Q11" s="5">
        <f t="shared" si="25"/>
        <v>2</v>
      </c>
      <c r="R11" s="5">
        <f t="shared" si="26"/>
        <v>4</v>
      </c>
      <c r="S11" s="5">
        <f t="shared" si="27"/>
        <v>4</v>
      </c>
      <c r="T11" s="5">
        <f t="shared" si="43"/>
        <v>0</v>
      </c>
      <c r="U11" s="5">
        <f t="shared" si="44"/>
        <v>0</v>
      </c>
      <c r="V11" s="5">
        <f t="shared" si="45"/>
        <v>0</v>
      </c>
      <c r="W11" s="5">
        <f t="shared" si="46"/>
        <v>0</v>
      </c>
      <c r="X11" s="5">
        <f t="shared" si="28"/>
        <v>3.8999999999999994E-3</v>
      </c>
      <c r="Z11" s="1">
        <f t="shared" si="47"/>
        <v>2</v>
      </c>
      <c r="AA11" s="1">
        <f t="shared" si="48"/>
        <v>4</v>
      </c>
      <c r="AB11" s="1">
        <f t="shared" si="49"/>
        <v>1</v>
      </c>
      <c r="AC11" s="1">
        <f t="shared" si="50"/>
        <v>4.0000000000000001E-3</v>
      </c>
      <c r="AD11" s="4">
        <f t="shared" si="51"/>
        <v>2</v>
      </c>
      <c r="AE11" s="4">
        <f t="shared" si="52"/>
        <v>4</v>
      </c>
      <c r="AF11" s="4">
        <f t="shared" si="53"/>
        <v>1</v>
      </c>
      <c r="AG11" s="4">
        <f t="shared" si="54"/>
        <v>4.0000000000000001E-3</v>
      </c>
      <c r="AH11" s="4">
        <f t="shared" si="55"/>
        <v>2</v>
      </c>
      <c r="AI11" s="4">
        <f t="shared" si="56"/>
        <v>4</v>
      </c>
      <c r="AJ11" s="4">
        <f t="shared" si="57"/>
        <v>1</v>
      </c>
      <c r="AK11" s="4">
        <f t="shared" si="58"/>
        <v>3.0000000000000001E-3</v>
      </c>
      <c r="AL11" s="4">
        <f t="shared" si="59"/>
        <v>2</v>
      </c>
      <c r="AM11" s="4">
        <f t="shared" si="60"/>
        <v>4</v>
      </c>
      <c r="AN11" s="4">
        <f t="shared" si="61"/>
        <v>1</v>
      </c>
      <c r="AO11" s="4">
        <f t="shared" si="62"/>
        <v>3.0000000000000001E-3</v>
      </c>
      <c r="AP11" s="4">
        <f t="shared" si="63"/>
        <v>2</v>
      </c>
      <c r="AQ11" s="4">
        <f t="shared" si="64"/>
        <v>4</v>
      </c>
      <c r="AR11" s="4">
        <f t="shared" si="65"/>
        <v>1</v>
      </c>
      <c r="AS11" s="4">
        <f t="shared" si="66"/>
        <v>3.0000000000000001E-3</v>
      </c>
      <c r="AT11" s="4">
        <f t="shared" si="67"/>
        <v>2</v>
      </c>
      <c r="AU11" s="4">
        <f t="shared" si="68"/>
        <v>4</v>
      </c>
      <c r="AV11" s="4">
        <f t="shared" si="69"/>
        <v>1</v>
      </c>
      <c r="AW11" s="4">
        <f t="shared" si="70"/>
        <v>5.0000000000000001E-3</v>
      </c>
      <c r="AX11" s="4">
        <f t="shared" si="71"/>
        <v>2</v>
      </c>
      <c r="AY11" s="4">
        <f t="shared" si="72"/>
        <v>4</v>
      </c>
      <c r="AZ11" s="4">
        <f t="shared" si="73"/>
        <v>1</v>
      </c>
      <c r="BA11" s="4">
        <f t="shared" si="74"/>
        <v>6.0000000000000001E-3</v>
      </c>
      <c r="BB11" s="4">
        <f t="shared" si="75"/>
        <v>2</v>
      </c>
      <c r="BC11" s="4">
        <f t="shared" si="76"/>
        <v>4</v>
      </c>
      <c r="BD11" s="4">
        <f t="shared" si="77"/>
        <v>1</v>
      </c>
      <c r="BE11" s="4">
        <f t="shared" si="78"/>
        <v>3.0000000000000001E-3</v>
      </c>
      <c r="BF11" s="4">
        <f t="shared" si="79"/>
        <v>2</v>
      </c>
      <c r="BG11" s="4">
        <f t="shared" si="80"/>
        <v>4</v>
      </c>
      <c r="BH11" s="4">
        <f t="shared" si="81"/>
        <v>1</v>
      </c>
      <c r="BI11" s="4">
        <f t="shared" si="82"/>
        <v>4.0000000000000001E-3</v>
      </c>
      <c r="BJ11" s="4">
        <f t="shared" si="83"/>
        <v>2</v>
      </c>
      <c r="BK11" s="4">
        <f t="shared" si="84"/>
        <v>4</v>
      </c>
      <c r="BL11" s="4">
        <f t="shared" si="85"/>
        <v>1</v>
      </c>
      <c r="BM11" s="4">
        <f t="shared" si="86"/>
        <v>4.0000000000000001E-3</v>
      </c>
    </row>
    <row r="12" spans="1:65" x14ac:dyDescent="0.25">
      <c r="A12" s="2" t="s">
        <v>6</v>
      </c>
      <c r="B12" s="2">
        <v>12</v>
      </c>
      <c r="C12" s="2">
        <v>9</v>
      </c>
      <c r="D12" s="2">
        <v>2</v>
      </c>
      <c r="E12" s="2">
        <v>3</v>
      </c>
      <c r="F12" s="2">
        <v>1</v>
      </c>
      <c r="H12" s="2">
        <v>2</v>
      </c>
      <c r="I12" s="2">
        <v>3</v>
      </c>
      <c r="J12" s="2">
        <v>1</v>
      </c>
      <c r="K12" s="2">
        <v>0.01</v>
      </c>
      <c r="M12" s="7">
        <f t="shared" si="39"/>
        <v>1</v>
      </c>
      <c r="N12" s="7">
        <f t="shared" si="40"/>
        <v>1</v>
      </c>
      <c r="O12" s="7">
        <f t="shared" si="41"/>
        <v>1</v>
      </c>
      <c r="P12" s="5">
        <f t="shared" si="42"/>
        <v>2</v>
      </c>
      <c r="Q12" s="5">
        <f t="shared" si="25"/>
        <v>2</v>
      </c>
      <c r="R12" s="5">
        <f t="shared" si="26"/>
        <v>3</v>
      </c>
      <c r="S12" s="5">
        <f t="shared" si="27"/>
        <v>3</v>
      </c>
      <c r="T12" s="5">
        <f t="shared" si="43"/>
        <v>0</v>
      </c>
      <c r="U12" s="5">
        <f t="shared" si="44"/>
        <v>0</v>
      </c>
      <c r="V12" s="5">
        <f t="shared" si="45"/>
        <v>0</v>
      </c>
      <c r="W12" s="5">
        <f t="shared" si="46"/>
        <v>0</v>
      </c>
      <c r="X12" s="5">
        <f t="shared" si="28"/>
        <v>7.9000000000000008E-3</v>
      </c>
      <c r="Z12" s="1">
        <f t="shared" si="47"/>
        <v>2</v>
      </c>
      <c r="AA12" s="1">
        <f t="shared" si="48"/>
        <v>3</v>
      </c>
      <c r="AB12" s="1">
        <f t="shared" si="49"/>
        <v>1</v>
      </c>
      <c r="AC12" s="1">
        <f t="shared" si="50"/>
        <v>0.01</v>
      </c>
      <c r="AD12" s="4">
        <f t="shared" si="51"/>
        <v>2</v>
      </c>
      <c r="AE12" s="4">
        <f t="shared" si="52"/>
        <v>3</v>
      </c>
      <c r="AF12" s="4">
        <f t="shared" si="53"/>
        <v>1</v>
      </c>
      <c r="AG12" s="4">
        <f t="shared" si="54"/>
        <v>6.0000000000000001E-3</v>
      </c>
      <c r="AH12" s="4">
        <f t="shared" si="55"/>
        <v>2</v>
      </c>
      <c r="AI12" s="4">
        <f t="shared" si="56"/>
        <v>3</v>
      </c>
      <c r="AJ12" s="4">
        <f t="shared" si="57"/>
        <v>1</v>
      </c>
      <c r="AK12" s="4">
        <f t="shared" si="58"/>
        <v>7.0000000000000001E-3</v>
      </c>
      <c r="AL12" s="4">
        <f t="shared" si="59"/>
        <v>2</v>
      </c>
      <c r="AM12" s="4">
        <f t="shared" si="60"/>
        <v>3</v>
      </c>
      <c r="AN12" s="4">
        <f t="shared" si="61"/>
        <v>1</v>
      </c>
      <c r="AO12" s="4">
        <f t="shared" si="62"/>
        <v>8.0000000000000002E-3</v>
      </c>
      <c r="AP12" s="4">
        <f t="shared" si="63"/>
        <v>2</v>
      </c>
      <c r="AQ12" s="4">
        <f t="shared" si="64"/>
        <v>3</v>
      </c>
      <c r="AR12" s="4">
        <f t="shared" si="65"/>
        <v>1</v>
      </c>
      <c r="AS12" s="4">
        <f t="shared" si="66"/>
        <v>8.0000000000000002E-3</v>
      </c>
      <c r="AT12" s="4">
        <f t="shared" si="67"/>
        <v>2</v>
      </c>
      <c r="AU12" s="4">
        <f t="shared" si="68"/>
        <v>3</v>
      </c>
      <c r="AV12" s="4">
        <f t="shared" si="69"/>
        <v>1</v>
      </c>
      <c r="AW12" s="4">
        <f t="shared" si="70"/>
        <v>6.0000000000000001E-3</v>
      </c>
      <c r="AX12" s="4">
        <f t="shared" si="71"/>
        <v>2</v>
      </c>
      <c r="AY12" s="4">
        <f t="shared" si="72"/>
        <v>3</v>
      </c>
      <c r="AZ12" s="4">
        <f t="shared" si="73"/>
        <v>1</v>
      </c>
      <c r="BA12" s="4">
        <f t="shared" si="74"/>
        <v>7.0000000000000001E-3</v>
      </c>
      <c r="BB12" s="4">
        <f t="shared" si="75"/>
        <v>2</v>
      </c>
      <c r="BC12" s="4">
        <f t="shared" si="76"/>
        <v>3</v>
      </c>
      <c r="BD12" s="4">
        <f t="shared" si="77"/>
        <v>1</v>
      </c>
      <c r="BE12" s="4">
        <f t="shared" si="78"/>
        <v>1.0999999999999999E-2</v>
      </c>
      <c r="BF12" s="4">
        <f t="shared" si="79"/>
        <v>2</v>
      </c>
      <c r="BG12" s="4">
        <f t="shared" si="80"/>
        <v>3</v>
      </c>
      <c r="BH12" s="4">
        <f t="shared" si="81"/>
        <v>1</v>
      </c>
      <c r="BI12" s="4">
        <f t="shared" si="82"/>
        <v>6.0000000000000001E-3</v>
      </c>
      <c r="BJ12" s="4">
        <f t="shared" si="83"/>
        <v>2</v>
      </c>
      <c r="BK12" s="4">
        <f t="shared" si="84"/>
        <v>3</v>
      </c>
      <c r="BL12" s="4">
        <f t="shared" si="85"/>
        <v>1</v>
      </c>
      <c r="BM12" s="4">
        <f t="shared" si="86"/>
        <v>0.01</v>
      </c>
    </row>
    <row r="13" spans="1:65" x14ac:dyDescent="0.25">
      <c r="A13" s="2" t="s">
        <v>7</v>
      </c>
      <c r="B13" s="2">
        <v>16</v>
      </c>
      <c r="C13" s="2">
        <v>15</v>
      </c>
      <c r="D13" s="2">
        <v>4</v>
      </c>
      <c r="E13" s="2">
        <v>6</v>
      </c>
      <c r="F13" s="2">
        <v>1</v>
      </c>
      <c r="H13" s="2">
        <v>4</v>
      </c>
      <c r="I13" s="2">
        <v>6</v>
      </c>
      <c r="J13" s="2">
        <v>1</v>
      </c>
      <c r="K13" s="2">
        <v>1.597</v>
      </c>
      <c r="M13" s="7">
        <f t="shared" si="39"/>
        <v>1</v>
      </c>
      <c r="N13" s="7">
        <f t="shared" si="40"/>
        <v>1</v>
      </c>
      <c r="O13" s="7">
        <f t="shared" si="41"/>
        <v>1</v>
      </c>
      <c r="P13" s="5">
        <f t="shared" si="42"/>
        <v>4</v>
      </c>
      <c r="Q13" s="5">
        <f t="shared" si="25"/>
        <v>4</v>
      </c>
      <c r="R13" s="5">
        <f t="shared" si="26"/>
        <v>6</v>
      </c>
      <c r="S13" s="5">
        <f t="shared" si="27"/>
        <v>6</v>
      </c>
      <c r="T13" s="5">
        <f t="shared" si="43"/>
        <v>0</v>
      </c>
      <c r="U13" s="5">
        <f t="shared" si="44"/>
        <v>0</v>
      </c>
      <c r="V13" s="5">
        <f t="shared" si="45"/>
        <v>0</v>
      </c>
      <c r="W13" s="5">
        <f t="shared" si="46"/>
        <v>0</v>
      </c>
      <c r="X13" s="5">
        <f t="shared" si="28"/>
        <v>0.68489999999999995</v>
      </c>
      <c r="Z13" s="1">
        <f t="shared" si="47"/>
        <v>4</v>
      </c>
      <c r="AA13" s="1">
        <f t="shared" si="48"/>
        <v>6</v>
      </c>
      <c r="AB13" s="1">
        <f t="shared" si="49"/>
        <v>1</v>
      </c>
      <c r="AC13" s="1">
        <f t="shared" si="50"/>
        <v>1.597</v>
      </c>
      <c r="AD13" s="4">
        <f t="shared" si="51"/>
        <v>4</v>
      </c>
      <c r="AE13" s="4">
        <f t="shared" si="52"/>
        <v>6</v>
      </c>
      <c r="AF13" s="4">
        <f t="shared" si="53"/>
        <v>1</v>
      </c>
      <c r="AG13" s="4">
        <f t="shared" si="54"/>
        <v>0.48799999999999999</v>
      </c>
      <c r="AH13" s="4">
        <f t="shared" si="55"/>
        <v>4</v>
      </c>
      <c r="AI13" s="4">
        <f t="shared" si="56"/>
        <v>6</v>
      </c>
      <c r="AJ13" s="4">
        <f t="shared" si="57"/>
        <v>1</v>
      </c>
      <c r="AK13" s="4">
        <f t="shared" si="58"/>
        <v>0.51800000000000002</v>
      </c>
      <c r="AL13" s="4">
        <f t="shared" si="59"/>
        <v>4</v>
      </c>
      <c r="AM13" s="4">
        <f t="shared" si="60"/>
        <v>6</v>
      </c>
      <c r="AN13" s="4">
        <f t="shared" si="61"/>
        <v>1</v>
      </c>
      <c r="AO13" s="4">
        <f t="shared" si="62"/>
        <v>0.60799999999999998</v>
      </c>
      <c r="AP13" s="4">
        <f t="shared" si="63"/>
        <v>4</v>
      </c>
      <c r="AQ13" s="4">
        <f t="shared" si="64"/>
        <v>6</v>
      </c>
      <c r="AR13" s="4">
        <f t="shared" si="65"/>
        <v>1</v>
      </c>
      <c r="AS13" s="4">
        <f t="shared" si="66"/>
        <v>0.50900000000000001</v>
      </c>
      <c r="AT13" s="4">
        <f t="shared" si="67"/>
        <v>4</v>
      </c>
      <c r="AU13" s="4">
        <f t="shared" si="68"/>
        <v>6</v>
      </c>
      <c r="AV13" s="4">
        <f t="shared" si="69"/>
        <v>1</v>
      </c>
      <c r="AW13" s="4">
        <f t="shared" si="70"/>
        <v>0.621</v>
      </c>
      <c r="AX13" s="4">
        <f t="shared" si="71"/>
        <v>4</v>
      </c>
      <c r="AY13" s="4">
        <f t="shared" si="72"/>
        <v>6</v>
      </c>
      <c r="AZ13" s="4">
        <f t="shared" si="73"/>
        <v>1</v>
      </c>
      <c r="BA13" s="4">
        <f t="shared" si="74"/>
        <v>0.54700000000000004</v>
      </c>
      <c r="BB13" s="4">
        <f t="shared" si="75"/>
        <v>4</v>
      </c>
      <c r="BC13" s="4">
        <f t="shared" si="76"/>
        <v>6</v>
      </c>
      <c r="BD13" s="4">
        <f t="shared" si="77"/>
        <v>1</v>
      </c>
      <c r="BE13" s="4">
        <f t="shared" si="78"/>
        <v>0.68200000000000005</v>
      </c>
      <c r="BF13" s="4">
        <f t="shared" si="79"/>
        <v>4</v>
      </c>
      <c r="BG13" s="4">
        <f t="shared" si="80"/>
        <v>6</v>
      </c>
      <c r="BH13" s="4">
        <f t="shared" si="81"/>
        <v>1</v>
      </c>
      <c r="BI13" s="4">
        <f t="shared" si="82"/>
        <v>0.61099999999999999</v>
      </c>
      <c r="BJ13" s="4">
        <f t="shared" si="83"/>
        <v>4</v>
      </c>
      <c r="BK13" s="4">
        <f t="shared" si="84"/>
        <v>6</v>
      </c>
      <c r="BL13" s="4">
        <f t="shared" si="85"/>
        <v>1</v>
      </c>
      <c r="BM13" s="4">
        <f t="shared" si="86"/>
        <v>0.66800000000000004</v>
      </c>
    </row>
    <row r="14" spans="1:65" x14ac:dyDescent="0.25">
      <c r="A14" s="2" t="s">
        <v>7</v>
      </c>
      <c r="B14" s="2">
        <v>16</v>
      </c>
      <c r="C14" s="2">
        <v>16</v>
      </c>
      <c r="D14" s="2">
        <v>3</v>
      </c>
      <c r="E14" s="2">
        <v>6</v>
      </c>
      <c r="F14" s="2">
        <v>1</v>
      </c>
      <c r="H14" s="2">
        <v>3</v>
      </c>
      <c r="I14" s="2">
        <v>6</v>
      </c>
      <c r="J14" s="2">
        <v>1</v>
      </c>
      <c r="K14" s="2">
        <v>2E-3</v>
      </c>
      <c r="M14" s="7">
        <f t="shared" si="39"/>
        <v>1</v>
      </c>
      <c r="N14" s="7">
        <f t="shared" si="40"/>
        <v>1</v>
      </c>
      <c r="O14" s="7">
        <f t="shared" si="41"/>
        <v>1</v>
      </c>
      <c r="P14" s="5">
        <f t="shared" si="42"/>
        <v>3</v>
      </c>
      <c r="Q14" s="5">
        <f t="shared" si="25"/>
        <v>3</v>
      </c>
      <c r="R14" s="5">
        <f t="shared" si="26"/>
        <v>6</v>
      </c>
      <c r="S14" s="5">
        <f t="shared" si="27"/>
        <v>6</v>
      </c>
      <c r="T14" s="5">
        <f t="shared" si="43"/>
        <v>0</v>
      </c>
      <c r="U14" s="5">
        <f t="shared" si="44"/>
        <v>0</v>
      </c>
      <c r="V14" s="5">
        <f t="shared" si="45"/>
        <v>0</v>
      </c>
      <c r="W14" s="5">
        <f t="shared" si="46"/>
        <v>0</v>
      </c>
      <c r="X14" s="5">
        <f t="shared" si="28"/>
        <v>2.7000000000000001E-3</v>
      </c>
      <c r="Z14" s="1">
        <f t="shared" si="47"/>
        <v>3</v>
      </c>
      <c r="AA14" s="1">
        <f t="shared" si="48"/>
        <v>6</v>
      </c>
      <c r="AB14" s="1">
        <f t="shared" si="49"/>
        <v>1</v>
      </c>
      <c r="AC14" s="1">
        <f t="shared" si="50"/>
        <v>2E-3</v>
      </c>
      <c r="AD14" s="4">
        <f t="shared" si="51"/>
        <v>3</v>
      </c>
      <c r="AE14" s="4">
        <f t="shared" si="52"/>
        <v>6</v>
      </c>
      <c r="AF14" s="4">
        <f t="shared" si="53"/>
        <v>1</v>
      </c>
      <c r="AG14" s="4">
        <f t="shared" si="54"/>
        <v>3.0000000000000001E-3</v>
      </c>
      <c r="AH14" s="4">
        <f t="shared" si="55"/>
        <v>3</v>
      </c>
      <c r="AI14" s="4">
        <f t="shared" si="56"/>
        <v>6</v>
      </c>
      <c r="AJ14" s="4">
        <f t="shared" si="57"/>
        <v>1</v>
      </c>
      <c r="AK14" s="4">
        <f t="shared" si="58"/>
        <v>4.0000000000000001E-3</v>
      </c>
      <c r="AL14" s="4">
        <f t="shared" si="59"/>
        <v>3</v>
      </c>
      <c r="AM14" s="4">
        <f t="shared" si="60"/>
        <v>6</v>
      </c>
      <c r="AN14" s="4">
        <f t="shared" si="61"/>
        <v>1</v>
      </c>
      <c r="AO14" s="4">
        <f t="shared" si="62"/>
        <v>3.0000000000000001E-3</v>
      </c>
      <c r="AP14" s="4">
        <f t="shared" si="63"/>
        <v>3</v>
      </c>
      <c r="AQ14" s="4">
        <f t="shared" si="64"/>
        <v>6</v>
      </c>
      <c r="AR14" s="4">
        <f t="shared" si="65"/>
        <v>1</v>
      </c>
      <c r="AS14" s="4">
        <f t="shared" si="66"/>
        <v>2E-3</v>
      </c>
      <c r="AT14" s="4">
        <f t="shared" si="67"/>
        <v>3</v>
      </c>
      <c r="AU14" s="4">
        <f t="shared" si="68"/>
        <v>6</v>
      </c>
      <c r="AV14" s="4">
        <f t="shared" si="69"/>
        <v>1</v>
      </c>
      <c r="AW14" s="4">
        <f t="shared" si="70"/>
        <v>2E-3</v>
      </c>
      <c r="AX14" s="4">
        <f t="shared" si="71"/>
        <v>3</v>
      </c>
      <c r="AY14" s="4">
        <f t="shared" si="72"/>
        <v>6</v>
      </c>
      <c r="AZ14" s="4">
        <f t="shared" si="73"/>
        <v>1</v>
      </c>
      <c r="BA14" s="4">
        <f t="shared" si="74"/>
        <v>2E-3</v>
      </c>
      <c r="BB14" s="4">
        <f t="shared" si="75"/>
        <v>3</v>
      </c>
      <c r="BC14" s="4">
        <f t="shared" si="76"/>
        <v>6</v>
      </c>
      <c r="BD14" s="4">
        <f t="shared" si="77"/>
        <v>1</v>
      </c>
      <c r="BE14" s="4">
        <f t="shared" si="78"/>
        <v>3.0000000000000001E-3</v>
      </c>
      <c r="BF14" s="4">
        <f t="shared" si="79"/>
        <v>3</v>
      </c>
      <c r="BG14" s="4">
        <f t="shared" si="80"/>
        <v>6</v>
      </c>
      <c r="BH14" s="4">
        <f t="shared" si="81"/>
        <v>1</v>
      </c>
      <c r="BI14" s="4">
        <f t="shared" si="82"/>
        <v>3.0000000000000001E-3</v>
      </c>
      <c r="BJ14" s="4">
        <f t="shared" si="83"/>
        <v>3</v>
      </c>
      <c r="BK14" s="4">
        <f t="shared" si="84"/>
        <v>6</v>
      </c>
      <c r="BL14" s="4">
        <f t="shared" si="85"/>
        <v>1</v>
      </c>
      <c r="BM14" s="4">
        <f t="shared" si="86"/>
        <v>3.0000000000000001E-3</v>
      </c>
    </row>
    <row r="15" spans="1:65" x14ac:dyDescent="0.25">
      <c r="A15" s="2" t="s">
        <v>7</v>
      </c>
      <c r="B15" s="2">
        <v>16</v>
      </c>
      <c r="C15" s="2">
        <v>18</v>
      </c>
      <c r="D15" s="2">
        <v>3</v>
      </c>
      <c r="E15" s="2">
        <v>6</v>
      </c>
      <c r="F15" s="2">
        <v>1</v>
      </c>
      <c r="H15" s="2">
        <v>3</v>
      </c>
      <c r="I15" s="2">
        <v>6</v>
      </c>
      <c r="J15" s="2">
        <v>1</v>
      </c>
      <c r="K15" s="2">
        <v>0.86499999999999999</v>
      </c>
      <c r="M15" s="7">
        <f t="shared" si="39"/>
        <v>1</v>
      </c>
      <c r="N15" s="7">
        <f t="shared" si="40"/>
        <v>1</v>
      </c>
      <c r="O15" s="7">
        <f t="shared" si="41"/>
        <v>1</v>
      </c>
      <c r="P15" s="5">
        <f t="shared" si="42"/>
        <v>3</v>
      </c>
      <c r="Q15" s="5">
        <f t="shared" si="25"/>
        <v>3</v>
      </c>
      <c r="R15" s="5">
        <f t="shared" si="26"/>
        <v>6</v>
      </c>
      <c r="S15" s="5">
        <f t="shared" si="27"/>
        <v>6</v>
      </c>
      <c r="T15" s="5">
        <f t="shared" si="43"/>
        <v>0</v>
      </c>
      <c r="U15" s="5">
        <f t="shared" si="44"/>
        <v>0</v>
      </c>
      <c r="V15" s="5">
        <f t="shared" si="45"/>
        <v>0</v>
      </c>
      <c r="W15" s="5">
        <f t="shared" si="46"/>
        <v>0</v>
      </c>
      <c r="X15" s="5">
        <f t="shared" si="28"/>
        <v>0.70740000000000003</v>
      </c>
      <c r="Z15" s="1">
        <f t="shared" si="47"/>
        <v>3</v>
      </c>
      <c r="AA15" s="1">
        <f t="shared" si="48"/>
        <v>6</v>
      </c>
      <c r="AB15" s="1">
        <f t="shared" si="49"/>
        <v>1</v>
      </c>
      <c r="AC15" s="1">
        <f t="shared" si="50"/>
        <v>0.86499999999999999</v>
      </c>
      <c r="AD15" s="4">
        <f t="shared" si="51"/>
        <v>3</v>
      </c>
      <c r="AE15" s="4">
        <f t="shared" si="52"/>
        <v>6</v>
      </c>
      <c r="AF15" s="4">
        <f t="shared" si="53"/>
        <v>1</v>
      </c>
      <c r="AG15" s="4">
        <f t="shared" si="54"/>
        <v>0.64300000000000002</v>
      </c>
      <c r="AH15" s="4">
        <f t="shared" si="55"/>
        <v>3</v>
      </c>
      <c r="AI15" s="4">
        <f t="shared" si="56"/>
        <v>6</v>
      </c>
      <c r="AJ15" s="4">
        <f t="shared" si="57"/>
        <v>1</v>
      </c>
      <c r="AK15" s="4">
        <f t="shared" si="58"/>
        <v>0.66700000000000004</v>
      </c>
      <c r="AL15" s="4">
        <f t="shared" si="59"/>
        <v>3</v>
      </c>
      <c r="AM15" s="4">
        <f t="shared" si="60"/>
        <v>6</v>
      </c>
      <c r="AN15" s="4">
        <f t="shared" si="61"/>
        <v>1</v>
      </c>
      <c r="AO15" s="4">
        <f t="shared" si="62"/>
        <v>0.70499999999999996</v>
      </c>
      <c r="AP15" s="4">
        <f t="shared" si="63"/>
        <v>3</v>
      </c>
      <c r="AQ15" s="4">
        <f t="shared" si="64"/>
        <v>6</v>
      </c>
      <c r="AR15" s="4">
        <f t="shared" si="65"/>
        <v>1</v>
      </c>
      <c r="AS15" s="4">
        <f t="shared" si="66"/>
        <v>0.67700000000000005</v>
      </c>
      <c r="AT15" s="4">
        <f t="shared" si="67"/>
        <v>3</v>
      </c>
      <c r="AU15" s="4">
        <f t="shared" si="68"/>
        <v>6</v>
      </c>
      <c r="AV15" s="4">
        <f t="shared" si="69"/>
        <v>1</v>
      </c>
      <c r="AW15" s="4">
        <f t="shared" si="70"/>
        <v>0.66800000000000004</v>
      </c>
      <c r="AX15" s="4">
        <f t="shared" si="71"/>
        <v>3</v>
      </c>
      <c r="AY15" s="4">
        <f t="shared" si="72"/>
        <v>6</v>
      </c>
      <c r="AZ15" s="4">
        <f t="shared" si="73"/>
        <v>1</v>
      </c>
      <c r="BA15" s="4">
        <f t="shared" si="74"/>
        <v>0.72299999999999998</v>
      </c>
      <c r="BB15" s="4">
        <f t="shared" si="75"/>
        <v>3</v>
      </c>
      <c r="BC15" s="4">
        <f t="shared" si="76"/>
        <v>6</v>
      </c>
      <c r="BD15" s="4">
        <f t="shared" si="77"/>
        <v>1</v>
      </c>
      <c r="BE15" s="4">
        <f t="shared" si="78"/>
        <v>0.70399999999999996</v>
      </c>
      <c r="BF15" s="4">
        <f t="shared" si="79"/>
        <v>3</v>
      </c>
      <c r="BG15" s="4">
        <f t="shared" si="80"/>
        <v>6</v>
      </c>
      <c r="BH15" s="4">
        <f t="shared" si="81"/>
        <v>1</v>
      </c>
      <c r="BI15" s="4">
        <f t="shared" si="82"/>
        <v>0.65200000000000002</v>
      </c>
      <c r="BJ15" s="4">
        <f t="shared" si="83"/>
        <v>3</v>
      </c>
      <c r="BK15" s="4">
        <f t="shared" si="84"/>
        <v>6</v>
      </c>
      <c r="BL15" s="4">
        <f t="shared" si="85"/>
        <v>1</v>
      </c>
      <c r="BM15" s="4">
        <f t="shared" si="86"/>
        <v>0.77</v>
      </c>
    </row>
    <row r="16" spans="1:65" x14ac:dyDescent="0.25">
      <c r="A16" s="2" t="s">
        <v>7</v>
      </c>
      <c r="B16" s="2">
        <v>16</v>
      </c>
      <c r="C16" s="2">
        <v>19</v>
      </c>
      <c r="D16" s="2">
        <v>3</v>
      </c>
      <c r="E16" s="2">
        <v>5</v>
      </c>
      <c r="F16" s="2">
        <v>1</v>
      </c>
      <c r="H16" s="2">
        <v>3</v>
      </c>
      <c r="I16" s="2">
        <v>5</v>
      </c>
      <c r="J16" s="2">
        <v>1</v>
      </c>
      <c r="K16" s="2">
        <v>1.091</v>
      </c>
      <c r="M16" s="7">
        <f t="shared" si="39"/>
        <v>1</v>
      </c>
      <c r="N16" s="7">
        <f t="shared" si="40"/>
        <v>1</v>
      </c>
      <c r="O16" s="7">
        <f t="shared" si="41"/>
        <v>1</v>
      </c>
      <c r="P16" s="5">
        <f t="shared" si="42"/>
        <v>3</v>
      </c>
      <c r="Q16" s="5">
        <f t="shared" si="25"/>
        <v>3</v>
      </c>
      <c r="R16" s="5">
        <f t="shared" si="26"/>
        <v>5</v>
      </c>
      <c r="S16" s="5">
        <f t="shared" si="27"/>
        <v>5</v>
      </c>
      <c r="T16" s="5">
        <f t="shared" si="43"/>
        <v>0</v>
      </c>
      <c r="U16" s="5">
        <f t="shared" si="44"/>
        <v>0</v>
      </c>
      <c r="V16" s="5">
        <f t="shared" si="45"/>
        <v>0</v>
      </c>
      <c r="W16" s="5">
        <f t="shared" si="46"/>
        <v>0</v>
      </c>
      <c r="X16" s="5">
        <f t="shared" si="28"/>
        <v>0.6744</v>
      </c>
      <c r="Z16" s="1">
        <f t="shared" si="47"/>
        <v>3</v>
      </c>
      <c r="AA16" s="1">
        <f t="shared" si="48"/>
        <v>5</v>
      </c>
      <c r="AB16" s="1">
        <f t="shared" si="49"/>
        <v>1</v>
      </c>
      <c r="AC16" s="1">
        <f t="shared" si="50"/>
        <v>1.091</v>
      </c>
      <c r="AD16" s="4">
        <f t="shared" si="51"/>
        <v>3</v>
      </c>
      <c r="AE16" s="4">
        <f t="shared" si="52"/>
        <v>5</v>
      </c>
      <c r="AF16" s="4">
        <f t="shared" si="53"/>
        <v>1</v>
      </c>
      <c r="AG16" s="4">
        <f t="shared" si="54"/>
        <v>0.71799999999999997</v>
      </c>
      <c r="AH16" s="4">
        <f t="shared" si="55"/>
        <v>3</v>
      </c>
      <c r="AI16" s="4">
        <f t="shared" si="56"/>
        <v>5</v>
      </c>
      <c r="AJ16" s="4">
        <f t="shared" si="57"/>
        <v>1</v>
      </c>
      <c r="AK16" s="4">
        <f t="shared" si="58"/>
        <v>0.58799999999999997</v>
      </c>
      <c r="AL16" s="4">
        <f t="shared" si="59"/>
        <v>3</v>
      </c>
      <c r="AM16" s="4">
        <f t="shared" si="60"/>
        <v>5</v>
      </c>
      <c r="AN16" s="4">
        <f t="shared" si="61"/>
        <v>1</v>
      </c>
      <c r="AO16" s="4">
        <f t="shared" si="62"/>
        <v>0.749</v>
      </c>
      <c r="AP16" s="4">
        <f t="shared" si="63"/>
        <v>3</v>
      </c>
      <c r="AQ16" s="4">
        <f t="shared" si="64"/>
        <v>5</v>
      </c>
      <c r="AR16" s="4">
        <f t="shared" si="65"/>
        <v>1</v>
      </c>
      <c r="AS16" s="4">
        <f t="shared" si="66"/>
        <v>0.52500000000000002</v>
      </c>
      <c r="AT16" s="4">
        <f t="shared" si="67"/>
        <v>3</v>
      </c>
      <c r="AU16" s="4">
        <f t="shared" si="68"/>
        <v>5</v>
      </c>
      <c r="AV16" s="4">
        <f t="shared" si="69"/>
        <v>1</v>
      </c>
      <c r="AW16" s="4">
        <f t="shared" si="70"/>
        <v>0.60099999999999998</v>
      </c>
      <c r="AX16" s="4">
        <f t="shared" si="71"/>
        <v>3</v>
      </c>
      <c r="AY16" s="4">
        <f t="shared" si="72"/>
        <v>5</v>
      </c>
      <c r="AZ16" s="4">
        <f t="shared" si="73"/>
        <v>1</v>
      </c>
      <c r="BA16" s="4">
        <f t="shared" si="74"/>
        <v>0.75</v>
      </c>
      <c r="BB16" s="4">
        <f t="shared" si="75"/>
        <v>3</v>
      </c>
      <c r="BC16" s="4">
        <f t="shared" si="76"/>
        <v>5</v>
      </c>
      <c r="BD16" s="4">
        <f t="shared" si="77"/>
        <v>1</v>
      </c>
      <c r="BE16" s="4">
        <f t="shared" si="78"/>
        <v>0.56100000000000005</v>
      </c>
      <c r="BF16" s="4">
        <f t="shared" si="79"/>
        <v>3</v>
      </c>
      <c r="BG16" s="4">
        <f t="shared" si="80"/>
        <v>5</v>
      </c>
      <c r="BH16" s="4">
        <f t="shared" si="81"/>
        <v>1</v>
      </c>
      <c r="BI16" s="4">
        <f t="shared" si="82"/>
        <v>0.60299999999999998</v>
      </c>
      <c r="BJ16" s="4">
        <f t="shared" si="83"/>
        <v>3</v>
      </c>
      <c r="BK16" s="4">
        <f t="shared" si="84"/>
        <v>5</v>
      </c>
      <c r="BL16" s="4">
        <f t="shared" si="85"/>
        <v>1</v>
      </c>
      <c r="BM16" s="4">
        <f t="shared" si="86"/>
        <v>0.55800000000000005</v>
      </c>
    </row>
    <row r="17" spans="1:65" x14ac:dyDescent="0.25">
      <c r="A17" s="2" t="s">
        <v>7</v>
      </c>
      <c r="B17" s="2">
        <v>16</v>
      </c>
      <c r="C17" s="2">
        <v>20</v>
      </c>
      <c r="D17" s="2">
        <v>3</v>
      </c>
      <c r="E17" s="2">
        <v>5</v>
      </c>
      <c r="F17" s="2">
        <v>1</v>
      </c>
      <c r="H17" s="2">
        <v>3</v>
      </c>
      <c r="I17" s="2">
        <v>5</v>
      </c>
      <c r="J17" s="2">
        <v>1</v>
      </c>
      <c r="K17" s="2">
        <v>1.7050000000000001</v>
      </c>
      <c r="M17" s="7">
        <f t="shared" si="39"/>
        <v>1</v>
      </c>
      <c r="N17" s="7">
        <f t="shared" si="40"/>
        <v>1</v>
      </c>
      <c r="O17" s="7">
        <f t="shared" si="41"/>
        <v>1</v>
      </c>
      <c r="P17" s="5">
        <f t="shared" si="42"/>
        <v>3</v>
      </c>
      <c r="Q17" s="5">
        <f t="shared" si="25"/>
        <v>3</v>
      </c>
      <c r="R17" s="5">
        <f t="shared" si="26"/>
        <v>5</v>
      </c>
      <c r="S17" s="5">
        <f t="shared" si="27"/>
        <v>5</v>
      </c>
      <c r="T17" s="5">
        <f t="shared" si="43"/>
        <v>0</v>
      </c>
      <c r="U17" s="5">
        <f t="shared" si="44"/>
        <v>0</v>
      </c>
      <c r="V17" s="5">
        <f t="shared" si="45"/>
        <v>0</v>
      </c>
      <c r="W17" s="5">
        <f t="shared" si="46"/>
        <v>0</v>
      </c>
      <c r="X17" s="5">
        <f t="shared" si="28"/>
        <v>0.72570000000000001</v>
      </c>
      <c r="Z17" s="1">
        <f t="shared" si="47"/>
        <v>3</v>
      </c>
      <c r="AA17" s="1">
        <f t="shared" si="48"/>
        <v>5</v>
      </c>
      <c r="AB17" s="1">
        <f t="shared" si="49"/>
        <v>1</v>
      </c>
      <c r="AC17" s="1">
        <f t="shared" si="50"/>
        <v>1.7050000000000001</v>
      </c>
      <c r="AD17" s="4">
        <f t="shared" si="51"/>
        <v>3</v>
      </c>
      <c r="AE17" s="4">
        <f t="shared" si="52"/>
        <v>5</v>
      </c>
      <c r="AF17" s="4">
        <f t="shared" si="53"/>
        <v>1</v>
      </c>
      <c r="AG17" s="4">
        <f t="shared" si="54"/>
        <v>0.53500000000000003</v>
      </c>
      <c r="AH17" s="4">
        <f t="shared" si="55"/>
        <v>3</v>
      </c>
      <c r="AI17" s="4">
        <f t="shared" si="56"/>
        <v>5</v>
      </c>
      <c r="AJ17" s="4">
        <f t="shared" si="57"/>
        <v>1</v>
      </c>
      <c r="AK17" s="4">
        <f t="shared" si="58"/>
        <v>0.59</v>
      </c>
      <c r="AL17" s="4">
        <f t="shared" si="59"/>
        <v>3</v>
      </c>
      <c r="AM17" s="4">
        <f t="shared" si="60"/>
        <v>5</v>
      </c>
      <c r="AN17" s="4">
        <f t="shared" si="61"/>
        <v>1</v>
      </c>
      <c r="AO17" s="4">
        <f t="shared" si="62"/>
        <v>0.55900000000000005</v>
      </c>
      <c r="AP17" s="4">
        <f t="shared" si="63"/>
        <v>3</v>
      </c>
      <c r="AQ17" s="4">
        <f t="shared" si="64"/>
        <v>5</v>
      </c>
      <c r="AR17" s="4">
        <f t="shared" si="65"/>
        <v>1</v>
      </c>
      <c r="AS17" s="4">
        <f t="shared" si="66"/>
        <v>0.53200000000000003</v>
      </c>
      <c r="AT17" s="4">
        <f t="shared" si="67"/>
        <v>3</v>
      </c>
      <c r="AU17" s="4">
        <f t="shared" si="68"/>
        <v>5</v>
      </c>
      <c r="AV17" s="4">
        <f t="shared" si="69"/>
        <v>1</v>
      </c>
      <c r="AW17" s="4">
        <f t="shared" si="70"/>
        <v>0.68400000000000005</v>
      </c>
      <c r="AX17" s="4">
        <f t="shared" si="71"/>
        <v>3</v>
      </c>
      <c r="AY17" s="4">
        <f t="shared" si="72"/>
        <v>5</v>
      </c>
      <c r="AZ17" s="4">
        <f t="shared" si="73"/>
        <v>1</v>
      </c>
      <c r="BA17" s="4">
        <f t="shared" si="74"/>
        <v>0.58599999999999997</v>
      </c>
      <c r="BB17" s="4">
        <f t="shared" si="75"/>
        <v>3</v>
      </c>
      <c r="BC17" s="4">
        <f t="shared" si="76"/>
        <v>5</v>
      </c>
      <c r="BD17" s="4">
        <f t="shared" si="77"/>
        <v>1</v>
      </c>
      <c r="BE17" s="4">
        <f t="shared" si="78"/>
        <v>0.66400000000000003</v>
      </c>
      <c r="BF17" s="4">
        <f t="shared" si="79"/>
        <v>3</v>
      </c>
      <c r="BG17" s="4">
        <f t="shared" si="80"/>
        <v>5</v>
      </c>
      <c r="BH17" s="4">
        <f t="shared" si="81"/>
        <v>1</v>
      </c>
      <c r="BI17" s="4">
        <f t="shared" si="82"/>
        <v>0.70599999999999996</v>
      </c>
      <c r="BJ17" s="4">
        <f t="shared" si="83"/>
        <v>3</v>
      </c>
      <c r="BK17" s="4">
        <f t="shared" si="84"/>
        <v>5</v>
      </c>
      <c r="BL17" s="4">
        <f t="shared" si="85"/>
        <v>1</v>
      </c>
      <c r="BM17" s="4">
        <f t="shared" si="86"/>
        <v>0.69599999999999995</v>
      </c>
    </row>
    <row r="18" spans="1:65" x14ac:dyDescent="0.25">
      <c r="A18" s="2" t="s">
        <v>7</v>
      </c>
      <c r="B18" s="2">
        <v>16</v>
      </c>
      <c r="C18" s="2">
        <v>21</v>
      </c>
      <c r="D18" s="2">
        <v>3</v>
      </c>
      <c r="E18" s="2">
        <v>5</v>
      </c>
      <c r="F18" s="2">
        <v>1</v>
      </c>
      <c r="H18" s="2">
        <v>3</v>
      </c>
      <c r="I18" s="2">
        <v>5</v>
      </c>
      <c r="J18" s="2">
        <v>1</v>
      </c>
      <c r="K18" s="2">
        <v>0.69399999999999995</v>
      </c>
      <c r="M18" s="7">
        <f t="shared" si="39"/>
        <v>1</v>
      </c>
      <c r="N18" s="7">
        <f t="shared" si="40"/>
        <v>1</v>
      </c>
      <c r="O18" s="7">
        <f t="shared" si="41"/>
        <v>1</v>
      </c>
      <c r="P18" s="5">
        <f t="shared" si="42"/>
        <v>3</v>
      </c>
      <c r="Q18" s="5">
        <f t="shared" si="25"/>
        <v>3</v>
      </c>
      <c r="R18" s="5">
        <f t="shared" si="26"/>
        <v>5</v>
      </c>
      <c r="S18" s="5">
        <f t="shared" si="27"/>
        <v>5</v>
      </c>
      <c r="T18" s="5">
        <f t="shared" si="43"/>
        <v>0</v>
      </c>
      <c r="U18" s="5">
        <f t="shared" si="44"/>
        <v>0</v>
      </c>
      <c r="V18" s="5">
        <f t="shared" si="45"/>
        <v>0</v>
      </c>
      <c r="W18" s="5">
        <f t="shared" si="46"/>
        <v>0</v>
      </c>
      <c r="X18" s="5">
        <f t="shared" si="28"/>
        <v>0.7157</v>
      </c>
      <c r="Z18" s="1">
        <f t="shared" si="47"/>
        <v>3</v>
      </c>
      <c r="AA18" s="1">
        <f t="shared" si="48"/>
        <v>5</v>
      </c>
      <c r="AB18" s="1">
        <f t="shared" si="49"/>
        <v>1</v>
      </c>
      <c r="AC18" s="1">
        <f t="shared" si="50"/>
        <v>0.69399999999999995</v>
      </c>
      <c r="AD18" s="4">
        <f t="shared" si="51"/>
        <v>3</v>
      </c>
      <c r="AE18" s="4">
        <f t="shared" si="52"/>
        <v>5</v>
      </c>
      <c r="AF18" s="4">
        <f t="shared" si="53"/>
        <v>1</v>
      </c>
      <c r="AG18" s="4">
        <f t="shared" si="54"/>
        <v>0.68600000000000005</v>
      </c>
      <c r="AH18" s="4">
        <f t="shared" si="55"/>
        <v>3</v>
      </c>
      <c r="AI18" s="4">
        <f t="shared" si="56"/>
        <v>5</v>
      </c>
      <c r="AJ18" s="4">
        <f t="shared" si="57"/>
        <v>1</v>
      </c>
      <c r="AK18" s="4">
        <f t="shared" si="58"/>
        <v>0.67300000000000004</v>
      </c>
      <c r="AL18" s="4">
        <f t="shared" si="59"/>
        <v>3</v>
      </c>
      <c r="AM18" s="4">
        <f t="shared" si="60"/>
        <v>5</v>
      </c>
      <c r="AN18" s="4">
        <f t="shared" si="61"/>
        <v>1</v>
      </c>
      <c r="AO18" s="4">
        <f t="shared" si="62"/>
        <v>0.76600000000000001</v>
      </c>
      <c r="AP18" s="4">
        <f t="shared" si="63"/>
        <v>3</v>
      </c>
      <c r="AQ18" s="4">
        <f t="shared" si="64"/>
        <v>5</v>
      </c>
      <c r="AR18" s="4">
        <f t="shared" si="65"/>
        <v>1</v>
      </c>
      <c r="AS18" s="4">
        <f t="shared" si="66"/>
        <v>0.69599999999999995</v>
      </c>
      <c r="AT18" s="4">
        <f t="shared" si="67"/>
        <v>3</v>
      </c>
      <c r="AU18" s="4">
        <f t="shared" si="68"/>
        <v>5</v>
      </c>
      <c r="AV18" s="4">
        <f t="shared" si="69"/>
        <v>1</v>
      </c>
      <c r="AW18" s="4">
        <f t="shared" si="70"/>
        <v>0.70599999999999996</v>
      </c>
      <c r="AX18" s="4">
        <f t="shared" si="71"/>
        <v>3</v>
      </c>
      <c r="AY18" s="4">
        <f t="shared" si="72"/>
        <v>5</v>
      </c>
      <c r="AZ18" s="4">
        <f t="shared" si="73"/>
        <v>1</v>
      </c>
      <c r="BA18" s="4">
        <f t="shared" si="74"/>
        <v>0.72</v>
      </c>
      <c r="BB18" s="4">
        <f t="shared" si="75"/>
        <v>3</v>
      </c>
      <c r="BC18" s="4">
        <f t="shared" si="76"/>
        <v>5</v>
      </c>
      <c r="BD18" s="4">
        <f t="shared" si="77"/>
        <v>1</v>
      </c>
      <c r="BE18" s="4">
        <f t="shared" si="78"/>
        <v>0.72899999999999998</v>
      </c>
      <c r="BF18" s="4">
        <f t="shared" si="79"/>
        <v>3</v>
      </c>
      <c r="BG18" s="4">
        <f t="shared" si="80"/>
        <v>5</v>
      </c>
      <c r="BH18" s="4">
        <f t="shared" si="81"/>
        <v>1</v>
      </c>
      <c r="BI18" s="4">
        <f t="shared" si="82"/>
        <v>0.66400000000000003</v>
      </c>
      <c r="BJ18" s="4">
        <f t="shared" si="83"/>
        <v>3</v>
      </c>
      <c r="BK18" s="4">
        <f t="shared" si="84"/>
        <v>5</v>
      </c>
      <c r="BL18" s="4">
        <f t="shared" si="85"/>
        <v>1</v>
      </c>
      <c r="BM18" s="4">
        <f t="shared" si="86"/>
        <v>0.82299999999999995</v>
      </c>
    </row>
    <row r="19" spans="1:65" x14ac:dyDescent="0.25">
      <c r="A19" s="2" t="s">
        <v>7</v>
      </c>
      <c r="B19" s="2">
        <v>16</v>
      </c>
      <c r="C19" s="2">
        <v>22</v>
      </c>
      <c r="D19" s="2">
        <v>2</v>
      </c>
      <c r="E19" s="2">
        <v>4</v>
      </c>
      <c r="F19" s="2">
        <v>1</v>
      </c>
      <c r="H19" s="2">
        <v>2</v>
      </c>
      <c r="I19" s="2">
        <v>4</v>
      </c>
      <c r="J19" s="2">
        <v>1</v>
      </c>
      <c r="K19" s="2">
        <v>8.9999999999999993E-3</v>
      </c>
      <c r="M19" s="7">
        <f t="shared" si="39"/>
        <v>1</v>
      </c>
      <c r="N19" s="7">
        <f t="shared" si="40"/>
        <v>1</v>
      </c>
      <c r="O19" s="7">
        <f t="shared" si="41"/>
        <v>1</v>
      </c>
      <c r="P19" s="5">
        <f t="shared" si="42"/>
        <v>2</v>
      </c>
      <c r="Q19" s="5">
        <f t="shared" si="25"/>
        <v>2</v>
      </c>
      <c r="R19" s="5">
        <f t="shared" si="26"/>
        <v>4</v>
      </c>
      <c r="S19" s="5">
        <f t="shared" si="27"/>
        <v>4</v>
      </c>
      <c r="T19" s="5">
        <f t="shared" si="43"/>
        <v>0</v>
      </c>
      <c r="U19" s="5">
        <f t="shared" si="44"/>
        <v>0</v>
      </c>
      <c r="V19" s="5">
        <f t="shared" si="45"/>
        <v>0</v>
      </c>
      <c r="W19" s="5">
        <f t="shared" si="46"/>
        <v>0</v>
      </c>
      <c r="X19" s="5">
        <f t="shared" si="28"/>
        <v>9.7999999999999997E-3</v>
      </c>
      <c r="Z19" s="1">
        <f t="shared" si="47"/>
        <v>2</v>
      </c>
      <c r="AA19" s="1">
        <f t="shared" si="48"/>
        <v>4</v>
      </c>
      <c r="AB19" s="1">
        <f t="shared" si="49"/>
        <v>1</v>
      </c>
      <c r="AC19" s="1">
        <f t="shared" si="50"/>
        <v>8.9999999999999993E-3</v>
      </c>
      <c r="AD19" s="4">
        <f t="shared" si="51"/>
        <v>2</v>
      </c>
      <c r="AE19" s="4">
        <f t="shared" si="52"/>
        <v>4</v>
      </c>
      <c r="AF19" s="4">
        <f t="shared" si="53"/>
        <v>1</v>
      </c>
      <c r="AG19" s="4">
        <f t="shared" si="54"/>
        <v>1.0999999999999999E-2</v>
      </c>
      <c r="AH19" s="4">
        <f t="shared" si="55"/>
        <v>2</v>
      </c>
      <c r="AI19" s="4">
        <f t="shared" si="56"/>
        <v>4</v>
      </c>
      <c r="AJ19" s="4">
        <f t="shared" si="57"/>
        <v>1</v>
      </c>
      <c r="AK19" s="4">
        <f t="shared" si="58"/>
        <v>0.01</v>
      </c>
      <c r="AL19" s="4">
        <f t="shared" si="59"/>
        <v>2</v>
      </c>
      <c r="AM19" s="4">
        <f t="shared" si="60"/>
        <v>4</v>
      </c>
      <c r="AN19" s="4">
        <f t="shared" si="61"/>
        <v>1</v>
      </c>
      <c r="AO19" s="4">
        <f t="shared" si="62"/>
        <v>8.9999999999999993E-3</v>
      </c>
      <c r="AP19" s="4">
        <f t="shared" si="63"/>
        <v>2</v>
      </c>
      <c r="AQ19" s="4">
        <f t="shared" si="64"/>
        <v>4</v>
      </c>
      <c r="AR19" s="4">
        <f t="shared" si="65"/>
        <v>1</v>
      </c>
      <c r="AS19" s="4">
        <f t="shared" si="66"/>
        <v>8.9999999999999993E-3</v>
      </c>
      <c r="AT19" s="4">
        <f t="shared" si="67"/>
        <v>2</v>
      </c>
      <c r="AU19" s="4">
        <f t="shared" si="68"/>
        <v>4</v>
      </c>
      <c r="AV19" s="4">
        <f t="shared" si="69"/>
        <v>1</v>
      </c>
      <c r="AW19" s="4">
        <f t="shared" si="70"/>
        <v>8.9999999999999993E-3</v>
      </c>
      <c r="AX19" s="4">
        <f t="shared" si="71"/>
        <v>2</v>
      </c>
      <c r="AY19" s="4">
        <f t="shared" si="72"/>
        <v>4</v>
      </c>
      <c r="AZ19" s="4">
        <f t="shared" si="73"/>
        <v>1</v>
      </c>
      <c r="BA19" s="4">
        <f t="shared" si="74"/>
        <v>0.01</v>
      </c>
      <c r="BB19" s="4">
        <f t="shared" si="75"/>
        <v>2</v>
      </c>
      <c r="BC19" s="4">
        <f t="shared" si="76"/>
        <v>4</v>
      </c>
      <c r="BD19" s="4">
        <f t="shared" si="77"/>
        <v>1</v>
      </c>
      <c r="BE19" s="4">
        <f t="shared" si="78"/>
        <v>1.0999999999999999E-2</v>
      </c>
      <c r="BF19" s="4">
        <f t="shared" si="79"/>
        <v>2</v>
      </c>
      <c r="BG19" s="4">
        <f t="shared" si="80"/>
        <v>4</v>
      </c>
      <c r="BH19" s="4">
        <f t="shared" si="81"/>
        <v>1</v>
      </c>
      <c r="BI19" s="4">
        <f t="shared" si="82"/>
        <v>0.01</v>
      </c>
      <c r="BJ19" s="4">
        <f t="shared" si="83"/>
        <v>2</v>
      </c>
      <c r="BK19" s="4">
        <f t="shared" si="84"/>
        <v>4</v>
      </c>
      <c r="BL19" s="4">
        <f t="shared" si="85"/>
        <v>1</v>
      </c>
      <c r="BM19" s="4">
        <f t="shared" si="86"/>
        <v>0.01</v>
      </c>
    </row>
    <row r="20" spans="1:65" x14ac:dyDescent="0.25">
      <c r="A20" s="2" t="s">
        <v>8</v>
      </c>
      <c r="B20" s="2">
        <v>24</v>
      </c>
      <c r="C20" s="2">
        <v>18</v>
      </c>
      <c r="D20" s="2">
        <v>4</v>
      </c>
      <c r="E20" s="2">
        <v>8</v>
      </c>
      <c r="F20" s="2">
        <v>1</v>
      </c>
      <c r="H20" s="2">
        <v>4</v>
      </c>
      <c r="I20" s="2">
        <v>8</v>
      </c>
      <c r="J20" s="2">
        <v>1</v>
      </c>
      <c r="K20" s="2">
        <v>4.2999999999999997E-2</v>
      </c>
      <c r="M20" s="7">
        <f t="shared" si="39"/>
        <v>1</v>
      </c>
      <c r="N20" s="7">
        <f t="shared" si="40"/>
        <v>1</v>
      </c>
      <c r="O20" s="7">
        <f t="shared" si="41"/>
        <v>1</v>
      </c>
      <c r="P20" s="5">
        <f t="shared" si="42"/>
        <v>4</v>
      </c>
      <c r="Q20" s="5">
        <f t="shared" si="25"/>
        <v>4</v>
      </c>
      <c r="R20" s="5">
        <f t="shared" si="26"/>
        <v>8</v>
      </c>
      <c r="S20" s="5">
        <f t="shared" si="27"/>
        <v>8</v>
      </c>
      <c r="T20" s="5">
        <f t="shared" si="43"/>
        <v>0</v>
      </c>
      <c r="U20" s="5">
        <f t="shared" si="44"/>
        <v>0</v>
      </c>
      <c r="V20" s="5">
        <f t="shared" si="45"/>
        <v>0</v>
      </c>
      <c r="W20" s="5">
        <f t="shared" si="46"/>
        <v>0</v>
      </c>
      <c r="X20" s="5">
        <f t="shared" si="28"/>
        <v>4.2599999999999992E-2</v>
      </c>
      <c r="Z20" s="1">
        <f t="shared" si="47"/>
        <v>4</v>
      </c>
      <c r="AA20" s="1">
        <f t="shared" si="48"/>
        <v>8</v>
      </c>
      <c r="AB20" s="1">
        <f t="shared" si="49"/>
        <v>1</v>
      </c>
      <c r="AC20" s="1">
        <f t="shared" si="50"/>
        <v>4.2999999999999997E-2</v>
      </c>
      <c r="AD20" s="4">
        <f t="shared" si="51"/>
        <v>4</v>
      </c>
      <c r="AE20" s="4">
        <f t="shared" si="52"/>
        <v>8</v>
      </c>
      <c r="AF20" s="4">
        <f t="shared" si="53"/>
        <v>1</v>
      </c>
      <c r="AG20" s="4">
        <f t="shared" si="54"/>
        <v>4.2000000000000003E-2</v>
      </c>
      <c r="AH20" s="4">
        <f t="shared" si="55"/>
        <v>4</v>
      </c>
      <c r="AI20" s="4">
        <f t="shared" si="56"/>
        <v>8</v>
      </c>
      <c r="AJ20" s="4">
        <f t="shared" si="57"/>
        <v>1</v>
      </c>
      <c r="AK20" s="4">
        <f t="shared" si="58"/>
        <v>4.2999999999999997E-2</v>
      </c>
      <c r="AL20" s="4">
        <f t="shared" si="59"/>
        <v>4</v>
      </c>
      <c r="AM20" s="4">
        <f t="shared" si="60"/>
        <v>8</v>
      </c>
      <c r="AN20" s="4">
        <f t="shared" si="61"/>
        <v>1</v>
      </c>
      <c r="AO20" s="4">
        <f t="shared" si="62"/>
        <v>4.2999999999999997E-2</v>
      </c>
      <c r="AP20" s="4">
        <f t="shared" si="63"/>
        <v>4</v>
      </c>
      <c r="AQ20" s="4">
        <f t="shared" si="64"/>
        <v>8</v>
      </c>
      <c r="AR20" s="4">
        <f t="shared" si="65"/>
        <v>1</v>
      </c>
      <c r="AS20" s="4">
        <f t="shared" si="66"/>
        <v>4.1000000000000002E-2</v>
      </c>
      <c r="AT20" s="4">
        <f t="shared" si="67"/>
        <v>4</v>
      </c>
      <c r="AU20" s="4">
        <f t="shared" si="68"/>
        <v>8</v>
      </c>
      <c r="AV20" s="4">
        <f t="shared" si="69"/>
        <v>1</v>
      </c>
      <c r="AW20" s="4">
        <f t="shared" si="70"/>
        <v>0.04</v>
      </c>
      <c r="AX20" s="4">
        <f t="shared" si="71"/>
        <v>4</v>
      </c>
      <c r="AY20" s="4">
        <f t="shared" si="72"/>
        <v>8</v>
      </c>
      <c r="AZ20" s="4">
        <f t="shared" si="73"/>
        <v>1</v>
      </c>
      <c r="BA20" s="4">
        <f t="shared" si="74"/>
        <v>4.5999999999999999E-2</v>
      </c>
      <c r="BB20" s="4">
        <f t="shared" si="75"/>
        <v>4</v>
      </c>
      <c r="BC20" s="4">
        <f t="shared" si="76"/>
        <v>8</v>
      </c>
      <c r="BD20" s="4">
        <f t="shared" si="77"/>
        <v>1</v>
      </c>
      <c r="BE20" s="4">
        <f t="shared" si="78"/>
        <v>4.1000000000000002E-2</v>
      </c>
      <c r="BF20" s="4">
        <f t="shared" si="79"/>
        <v>4</v>
      </c>
      <c r="BG20" s="4">
        <f t="shared" si="80"/>
        <v>8</v>
      </c>
      <c r="BH20" s="4">
        <f t="shared" si="81"/>
        <v>1</v>
      </c>
      <c r="BI20" s="4">
        <f t="shared" si="82"/>
        <v>4.1000000000000002E-2</v>
      </c>
      <c r="BJ20" s="4">
        <f t="shared" si="83"/>
        <v>4</v>
      </c>
      <c r="BK20" s="4">
        <f t="shared" si="84"/>
        <v>8</v>
      </c>
      <c r="BL20" s="4">
        <f t="shared" si="85"/>
        <v>1</v>
      </c>
      <c r="BM20" s="4">
        <f t="shared" si="86"/>
        <v>4.5999999999999999E-2</v>
      </c>
    </row>
    <row r="21" spans="1:65" x14ac:dyDescent="0.25">
      <c r="A21" s="2" t="s">
        <v>8</v>
      </c>
      <c r="B21" s="2">
        <v>24</v>
      </c>
      <c r="C21" s="2">
        <v>20</v>
      </c>
      <c r="D21" s="2">
        <v>4</v>
      </c>
      <c r="E21" s="2">
        <v>7</v>
      </c>
      <c r="F21" s="2">
        <v>1</v>
      </c>
      <c r="H21" s="2">
        <v>4</v>
      </c>
      <c r="I21" s="2">
        <v>7</v>
      </c>
      <c r="J21" s="2">
        <v>1</v>
      </c>
      <c r="K21" s="2">
        <v>4.7009999999999996</v>
      </c>
      <c r="M21" s="7">
        <f t="shared" si="39"/>
        <v>1</v>
      </c>
      <c r="N21" s="7">
        <f t="shared" si="40"/>
        <v>1</v>
      </c>
      <c r="O21" s="7">
        <f t="shared" si="41"/>
        <v>1</v>
      </c>
      <c r="P21" s="5">
        <f t="shared" si="42"/>
        <v>4</v>
      </c>
      <c r="Q21" s="5">
        <f t="shared" si="25"/>
        <v>4</v>
      </c>
      <c r="R21" s="5">
        <f t="shared" si="26"/>
        <v>7</v>
      </c>
      <c r="S21" s="5">
        <f t="shared" si="27"/>
        <v>7</v>
      </c>
      <c r="T21" s="5">
        <f t="shared" si="43"/>
        <v>0</v>
      </c>
      <c r="U21" s="5">
        <f t="shared" si="44"/>
        <v>0</v>
      </c>
      <c r="V21" s="5">
        <f t="shared" si="45"/>
        <v>0</v>
      </c>
      <c r="W21" s="5">
        <f t="shared" si="46"/>
        <v>0</v>
      </c>
      <c r="X21" s="5">
        <f t="shared" si="28"/>
        <v>4.6216999999999997</v>
      </c>
      <c r="Z21" s="1">
        <f t="shared" si="47"/>
        <v>4</v>
      </c>
      <c r="AA21" s="1">
        <f t="shared" si="48"/>
        <v>7</v>
      </c>
      <c r="AB21" s="1">
        <f t="shared" si="49"/>
        <v>1</v>
      </c>
      <c r="AC21" s="1">
        <f t="shared" si="50"/>
        <v>4.7009999999999996</v>
      </c>
      <c r="AD21" s="4">
        <f t="shared" si="51"/>
        <v>4</v>
      </c>
      <c r="AE21" s="4">
        <f t="shared" si="52"/>
        <v>7</v>
      </c>
      <c r="AF21" s="4">
        <f t="shared" si="53"/>
        <v>1</v>
      </c>
      <c r="AG21" s="4">
        <f t="shared" si="54"/>
        <v>4.5410000000000004</v>
      </c>
      <c r="AH21" s="4">
        <f t="shared" si="55"/>
        <v>4</v>
      </c>
      <c r="AI21" s="4">
        <f t="shared" si="56"/>
        <v>7</v>
      </c>
      <c r="AJ21" s="4">
        <f t="shared" si="57"/>
        <v>1</v>
      </c>
      <c r="AK21" s="4">
        <f t="shared" si="58"/>
        <v>4.6020000000000003</v>
      </c>
      <c r="AL21" s="4">
        <f t="shared" si="59"/>
        <v>4</v>
      </c>
      <c r="AM21" s="4">
        <f t="shared" si="60"/>
        <v>7</v>
      </c>
      <c r="AN21" s="4">
        <f t="shared" si="61"/>
        <v>1</v>
      </c>
      <c r="AO21" s="4">
        <f t="shared" si="62"/>
        <v>4.625</v>
      </c>
      <c r="AP21" s="4">
        <f t="shared" si="63"/>
        <v>4</v>
      </c>
      <c r="AQ21" s="4">
        <f t="shared" si="64"/>
        <v>7</v>
      </c>
      <c r="AR21" s="4">
        <f t="shared" si="65"/>
        <v>1</v>
      </c>
      <c r="AS21" s="4">
        <f t="shared" si="66"/>
        <v>4.4669999999999996</v>
      </c>
      <c r="AT21" s="4">
        <f t="shared" si="67"/>
        <v>4</v>
      </c>
      <c r="AU21" s="4">
        <f t="shared" si="68"/>
        <v>7</v>
      </c>
      <c r="AV21" s="4">
        <f t="shared" si="69"/>
        <v>1</v>
      </c>
      <c r="AW21" s="4">
        <f t="shared" si="70"/>
        <v>4.4660000000000002</v>
      </c>
      <c r="AX21" s="4">
        <f t="shared" si="71"/>
        <v>4</v>
      </c>
      <c r="AY21" s="4">
        <f t="shared" si="72"/>
        <v>7</v>
      </c>
      <c r="AZ21" s="4">
        <f t="shared" si="73"/>
        <v>1</v>
      </c>
      <c r="BA21" s="4">
        <f t="shared" si="74"/>
        <v>4.8730000000000002</v>
      </c>
      <c r="BB21" s="4">
        <f t="shared" si="75"/>
        <v>4</v>
      </c>
      <c r="BC21" s="4">
        <f t="shared" si="76"/>
        <v>7</v>
      </c>
      <c r="BD21" s="4">
        <f t="shared" si="77"/>
        <v>1</v>
      </c>
      <c r="BE21" s="4">
        <f t="shared" si="78"/>
        <v>4.4939999999999998</v>
      </c>
      <c r="BF21" s="4">
        <f t="shared" si="79"/>
        <v>4</v>
      </c>
      <c r="BG21" s="4">
        <f t="shared" si="80"/>
        <v>7</v>
      </c>
      <c r="BH21" s="4">
        <f t="shared" si="81"/>
        <v>1</v>
      </c>
      <c r="BI21" s="4">
        <f t="shared" si="82"/>
        <v>4.6349999999999998</v>
      </c>
      <c r="BJ21" s="4">
        <f t="shared" si="83"/>
        <v>4</v>
      </c>
      <c r="BK21" s="4">
        <f t="shared" si="84"/>
        <v>7</v>
      </c>
      <c r="BL21" s="4">
        <f t="shared" si="85"/>
        <v>1</v>
      </c>
      <c r="BM21" s="4">
        <f t="shared" si="86"/>
        <v>4.8129999999999997</v>
      </c>
    </row>
    <row r="22" spans="1:65" x14ac:dyDescent="0.25">
      <c r="A22" s="2" t="s">
        <v>8</v>
      </c>
      <c r="B22" s="2">
        <v>24</v>
      </c>
      <c r="C22" s="2">
        <v>24</v>
      </c>
      <c r="D22" s="2">
        <v>3</v>
      </c>
      <c r="E22" s="2">
        <v>6</v>
      </c>
      <c r="F22" s="2">
        <v>1</v>
      </c>
      <c r="H22" s="2">
        <v>3</v>
      </c>
      <c r="I22" s="2">
        <v>6</v>
      </c>
      <c r="J22" s="2">
        <v>1</v>
      </c>
      <c r="K22" s="2">
        <v>4.1000000000000002E-2</v>
      </c>
      <c r="M22" s="7">
        <f t="shared" si="39"/>
        <v>1</v>
      </c>
      <c r="N22" s="7">
        <f t="shared" si="40"/>
        <v>1</v>
      </c>
      <c r="O22" s="7">
        <f t="shared" si="41"/>
        <v>1</v>
      </c>
      <c r="P22" s="5">
        <f t="shared" si="42"/>
        <v>3</v>
      </c>
      <c r="Q22" s="5">
        <f t="shared" si="25"/>
        <v>3</v>
      </c>
      <c r="R22" s="5">
        <f t="shared" si="26"/>
        <v>6</v>
      </c>
      <c r="S22" s="5">
        <f t="shared" si="27"/>
        <v>6</v>
      </c>
      <c r="T22" s="5">
        <f t="shared" si="43"/>
        <v>0</v>
      </c>
      <c r="U22" s="5">
        <f t="shared" si="44"/>
        <v>0</v>
      </c>
      <c r="V22" s="5">
        <f t="shared" si="45"/>
        <v>0</v>
      </c>
      <c r="W22" s="5">
        <f t="shared" si="46"/>
        <v>0</v>
      </c>
      <c r="X22" s="5">
        <f t="shared" si="28"/>
        <v>4.0999999999999995E-2</v>
      </c>
      <c r="Z22" s="1">
        <f t="shared" si="47"/>
        <v>3</v>
      </c>
      <c r="AA22" s="1">
        <f t="shared" si="48"/>
        <v>6</v>
      </c>
      <c r="AB22" s="1">
        <f t="shared" si="49"/>
        <v>1</v>
      </c>
      <c r="AC22" s="1">
        <f t="shared" si="50"/>
        <v>4.1000000000000002E-2</v>
      </c>
      <c r="AD22" s="4">
        <f t="shared" si="51"/>
        <v>3</v>
      </c>
      <c r="AE22" s="4">
        <f t="shared" si="52"/>
        <v>6</v>
      </c>
      <c r="AF22" s="4">
        <f t="shared" si="53"/>
        <v>1</v>
      </c>
      <c r="AG22" s="4">
        <f t="shared" si="54"/>
        <v>0.04</v>
      </c>
      <c r="AH22" s="4">
        <f t="shared" si="55"/>
        <v>3</v>
      </c>
      <c r="AI22" s="4">
        <f t="shared" si="56"/>
        <v>6</v>
      </c>
      <c r="AJ22" s="4">
        <f t="shared" si="57"/>
        <v>1</v>
      </c>
      <c r="AK22" s="4">
        <f t="shared" si="58"/>
        <v>0.04</v>
      </c>
      <c r="AL22" s="4">
        <f t="shared" si="59"/>
        <v>3</v>
      </c>
      <c r="AM22" s="4">
        <f t="shared" si="60"/>
        <v>6</v>
      </c>
      <c r="AN22" s="4">
        <f t="shared" si="61"/>
        <v>1</v>
      </c>
      <c r="AO22" s="4">
        <f t="shared" si="62"/>
        <v>3.7999999999999999E-2</v>
      </c>
      <c r="AP22" s="4">
        <f t="shared" si="63"/>
        <v>3</v>
      </c>
      <c r="AQ22" s="4">
        <f t="shared" si="64"/>
        <v>6</v>
      </c>
      <c r="AR22" s="4">
        <f t="shared" si="65"/>
        <v>1</v>
      </c>
      <c r="AS22" s="4">
        <f t="shared" si="66"/>
        <v>4.1000000000000002E-2</v>
      </c>
      <c r="AT22" s="4">
        <f t="shared" si="67"/>
        <v>3</v>
      </c>
      <c r="AU22" s="4">
        <f t="shared" si="68"/>
        <v>6</v>
      </c>
      <c r="AV22" s="4">
        <f t="shared" si="69"/>
        <v>1</v>
      </c>
      <c r="AW22" s="4">
        <f t="shared" si="70"/>
        <v>0.04</v>
      </c>
      <c r="AX22" s="4">
        <f t="shared" si="71"/>
        <v>3</v>
      </c>
      <c r="AY22" s="4">
        <f t="shared" si="72"/>
        <v>6</v>
      </c>
      <c r="AZ22" s="4">
        <f t="shared" si="73"/>
        <v>1</v>
      </c>
      <c r="BA22" s="4">
        <f t="shared" si="74"/>
        <v>4.3999999999999997E-2</v>
      </c>
      <c r="BB22" s="4">
        <f t="shared" si="75"/>
        <v>3</v>
      </c>
      <c r="BC22" s="4">
        <f t="shared" si="76"/>
        <v>6</v>
      </c>
      <c r="BD22" s="4">
        <f t="shared" si="77"/>
        <v>1</v>
      </c>
      <c r="BE22" s="4">
        <f t="shared" si="78"/>
        <v>0.04</v>
      </c>
      <c r="BF22" s="4">
        <f t="shared" si="79"/>
        <v>3</v>
      </c>
      <c r="BG22" s="4">
        <f t="shared" si="80"/>
        <v>6</v>
      </c>
      <c r="BH22" s="4">
        <f t="shared" si="81"/>
        <v>1</v>
      </c>
      <c r="BI22" s="4">
        <f t="shared" si="82"/>
        <v>4.1000000000000002E-2</v>
      </c>
      <c r="BJ22" s="4">
        <f t="shared" si="83"/>
        <v>3</v>
      </c>
      <c r="BK22" s="4">
        <f t="shared" si="84"/>
        <v>6</v>
      </c>
      <c r="BL22" s="4">
        <f t="shared" si="85"/>
        <v>1</v>
      </c>
      <c r="BM22" s="4">
        <f t="shared" si="86"/>
        <v>4.4999999999999998E-2</v>
      </c>
    </row>
    <row r="23" spans="1:65" x14ac:dyDescent="0.25">
      <c r="A23" s="2" t="s">
        <v>8</v>
      </c>
      <c r="B23" s="2">
        <v>24</v>
      </c>
      <c r="C23" s="2">
        <v>25</v>
      </c>
      <c r="D23" s="2">
        <v>3</v>
      </c>
      <c r="E23" s="2">
        <v>6</v>
      </c>
      <c r="F23" s="2">
        <v>1</v>
      </c>
      <c r="H23" s="2">
        <v>3</v>
      </c>
      <c r="I23" s="2">
        <v>6</v>
      </c>
      <c r="J23" s="2">
        <v>1</v>
      </c>
      <c r="K23" s="2">
        <v>4.2999999999999997E-2</v>
      </c>
      <c r="M23" s="7">
        <f t="shared" si="39"/>
        <v>1</v>
      </c>
      <c r="N23" s="7">
        <f t="shared" si="40"/>
        <v>1</v>
      </c>
      <c r="O23" s="7">
        <f t="shared" si="41"/>
        <v>1</v>
      </c>
      <c r="P23" s="5">
        <f t="shared" si="42"/>
        <v>3</v>
      </c>
      <c r="Q23" s="5">
        <f t="shared" si="25"/>
        <v>3</v>
      </c>
      <c r="R23" s="5">
        <f t="shared" si="26"/>
        <v>6</v>
      </c>
      <c r="S23" s="5">
        <f t="shared" si="27"/>
        <v>6</v>
      </c>
      <c r="T23" s="5">
        <f t="shared" si="43"/>
        <v>0</v>
      </c>
      <c r="U23" s="5">
        <f t="shared" si="44"/>
        <v>0</v>
      </c>
      <c r="V23" s="5">
        <f t="shared" si="45"/>
        <v>0</v>
      </c>
      <c r="W23" s="5">
        <f t="shared" si="46"/>
        <v>0</v>
      </c>
      <c r="X23" s="5">
        <f t="shared" si="28"/>
        <v>4.2599999999999992E-2</v>
      </c>
      <c r="Z23" s="1">
        <f t="shared" si="47"/>
        <v>3</v>
      </c>
      <c r="AA23" s="1">
        <f t="shared" si="48"/>
        <v>6</v>
      </c>
      <c r="AB23" s="1">
        <f t="shared" si="49"/>
        <v>1</v>
      </c>
      <c r="AC23" s="1">
        <f t="shared" si="50"/>
        <v>4.2999999999999997E-2</v>
      </c>
      <c r="AD23" s="4">
        <f t="shared" si="51"/>
        <v>3</v>
      </c>
      <c r="AE23" s="4">
        <f t="shared" si="52"/>
        <v>6</v>
      </c>
      <c r="AF23" s="4">
        <f t="shared" si="53"/>
        <v>1</v>
      </c>
      <c r="AG23" s="4">
        <f t="shared" si="54"/>
        <v>4.2999999999999997E-2</v>
      </c>
      <c r="AH23" s="4">
        <f t="shared" si="55"/>
        <v>3</v>
      </c>
      <c r="AI23" s="4">
        <f t="shared" si="56"/>
        <v>6</v>
      </c>
      <c r="AJ23" s="4">
        <f t="shared" si="57"/>
        <v>1</v>
      </c>
      <c r="AK23" s="4">
        <f t="shared" si="58"/>
        <v>4.2000000000000003E-2</v>
      </c>
      <c r="AL23" s="4">
        <f t="shared" si="59"/>
        <v>3</v>
      </c>
      <c r="AM23" s="4">
        <f t="shared" si="60"/>
        <v>6</v>
      </c>
      <c r="AN23" s="4">
        <f t="shared" si="61"/>
        <v>1</v>
      </c>
      <c r="AO23" s="4">
        <f t="shared" si="62"/>
        <v>4.1000000000000002E-2</v>
      </c>
      <c r="AP23" s="4">
        <f t="shared" si="63"/>
        <v>3</v>
      </c>
      <c r="AQ23" s="4">
        <f t="shared" si="64"/>
        <v>6</v>
      </c>
      <c r="AR23" s="4">
        <f t="shared" si="65"/>
        <v>1</v>
      </c>
      <c r="AS23" s="4">
        <f t="shared" si="66"/>
        <v>4.1000000000000002E-2</v>
      </c>
      <c r="AT23" s="4">
        <f t="shared" si="67"/>
        <v>3</v>
      </c>
      <c r="AU23" s="4">
        <f t="shared" si="68"/>
        <v>6</v>
      </c>
      <c r="AV23" s="4">
        <f t="shared" si="69"/>
        <v>1</v>
      </c>
      <c r="AW23" s="4">
        <f t="shared" si="70"/>
        <v>0.04</v>
      </c>
      <c r="AX23" s="4">
        <f t="shared" si="71"/>
        <v>3</v>
      </c>
      <c r="AY23" s="4">
        <f t="shared" si="72"/>
        <v>6</v>
      </c>
      <c r="AZ23" s="4">
        <f t="shared" si="73"/>
        <v>1</v>
      </c>
      <c r="BA23" s="4">
        <f t="shared" si="74"/>
        <v>4.7E-2</v>
      </c>
      <c r="BB23" s="4">
        <f t="shared" si="75"/>
        <v>3</v>
      </c>
      <c r="BC23" s="4">
        <f t="shared" si="76"/>
        <v>6</v>
      </c>
      <c r="BD23" s="4">
        <f t="shared" si="77"/>
        <v>1</v>
      </c>
      <c r="BE23" s="4">
        <f t="shared" si="78"/>
        <v>4.1000000000000002E-2</v>
      </c>
      <c r="BF23" s="4">
        <f t="shared" si="79"/>
        <v>3</v>
      </c>
      <c r="BG23" s="4">
        <f t="shared" si="80"/>
        <v>6</v>
      </c>
      <c r="BH23" s="4">
        <f t="shared" si="81"/>
        <v>1</v>
      </c>
      <c r="BI23" s="4">
        <f t="shared" si="82"/>
        <v>4.2000000000000003E-2</v>
      </c>
      <c r="BJ23" s="4">
        <f t="shared" si="83"/>
        <v>3</v>
      </c>
      <c r="BK23" s="4">
        <f t="shared" si="84"/>
        <v>6</v>
      </c>
      <c r="BL23" s="4">
        <f t="shared" si="85"/>
        <v>1</v>
      </c>
      <c r="BM23" s="4">
        <f t="shared" si="86"/>
        <v>4.5999999999999999E-2</v>
      </c>
    </row>
    <row r="24" spans="1:65" x14ac:dyDescent="0.25">
      <c r="A24" s="2" t="s">
        <v>8</v>
      </c>
      <c r="B24" s="2">
        <v>24</v>
      </c>
      <c r="C24" s="2">
        <v>30</v>
      </c>
      <c r="D24" s="2">
        <v>3</v>
      </c>
      <c r="E24" s="2">
        <v>5</v>
      </c>
      <c r="F24" s="2">
        <v>1</v>
      </c>
      <c r="H24" s="2">
        <v>3</v>
      </c>
      <c r="I24" s="2">
        <v>5</v>
      </c>
      <c r="J24" s="2">
        <v>1</v>
      </c>
      <c r="K24" s="2">
        <v>4.3999999999999997E-2</v>
      </c>
      <c r="M24" s="7">
        <f t="shared" si="39"/>
        <v>1</v>
      </c>
      <c r="N24" s="7">
        <f t="shared" si="40"/>
        <v>1</v>
      </c>
      <c r="O24" s="7">
        <f t="shared" si="41"/>
        <v>1</v>
      </c>
      <c r="P24" s="5">
        <f t="shared" si="42"/>
        <v>3</v>
      </c>
      <c r="Q24" s="5">
        <f t="shared" si="25"/>
        <v>3</v>
      </c>
      <c r="R24" s="5">
        <f t="shared" si="26"/>
        <v>5</v>
      </c>
      <c r="S24" s="5">
        <f t="shared" si="27"/>
        <v>5</v>
      </c>
      <c r="T24" s="5">
        <f t="shared" si="43"/>
        <v>0</v>
      </c>
      <c r="U24" s="5">
        <f t="shared" si="44"/>
        <v>0</v>
      </c>
      <c r="V24" s="5">
        <f t="shared" si="45"/>
        <v>0</v>
      </c>
      <c r="W24" s="5">
        <f t="shared" si="46"/>
        <v>0</v>
      </c>
      <c r="X24" s="5">
        <f t="shared" si="28"/>
        <v>4.4199999999999989E-2</v>
      </c>
      <c r="Z24" s="1">
        <f t="shared" si="47"/>
        <v>3</v>
      </c>
      <c r="AA24" s="1">
        <f t="shared" si="48"/>
        <v>5</v>
      </c>
      <c r="AB24" s="1">
        <f t="shared" si="49"/>
        <v>1</v>
      </c>
      <c r="AC24" s="1">
        <f t="shared" si="50"/>
        <v>4.3999999999999997E-2</v>
      </c>
      <c r="AD24" s="4">
        <f t="shared" si="51"/>
        <v>3</v>
      </c>
      <c r="AE24" s="4">
        <f t="shared" si="52"/>
        <v>5</v>
      </c>
      <c r="AF24" s="4">
        <f t="shared" si="53"/>
        <v>1</v>
      </c>
      <c r="AG24" s="4">
        <f t="shared" si="54"/>
        <v>4.2999999999999997E-2</v>
      </c>
      <c r="AH24" s="4">
        <f t="shared" si="55"/>
        <v>3</v>
      </c>
      <c r="AI24" s="4">
        <f t="shared" si="56"/>
        <v>5</v>
      </c>
      <c r="AJ24" s="4">
        <f t="shared" si="57"/>
        <v>1</v>
      </c>
      <c r="AK24" s="4">
        <f t="shared" si="58"/>
        <v>4.2999999999999997E-2</v>
      </c>
      <c r="AL24" s="4">
        <f t="shared" si="59"/>
        <v>3</v>
      </c>
      <c r="AM24" s="4">
        <f t="shared" si="60"/>
        <v>5</v>
      </c>
      <c r="AN24" s="4">
        <f t="shared" si="61"/>
        <v>1</v>
      </c>
      <c r="AO24" s="4">
        <f t="shared" si="62"/>
        <v>4.2999999999999997E-2</v>
      </c>
      <c r="AP24" s="4">
        <f t="shared" si="63"/>
        <v>3</v>
      </c>
      <c r="AQ24" s="4">
        <f t="shared" si="64"/>
        <v>5</v>
      </c>
      <c r="AR24" s="4">
        <f t="shared" si="65"/>
        <v>1</v>
      </c>
      <c r="AS24" s="4">
        <f t="shared" si="66"/>
        <v>4.2999999999999997E-2</v>
      </c>
      <c r="AT24" s="4">
        <f t="shared" si="67"/>
        <v>3</v>
      </c>
      <c r="AU24" s="4">
        <f t="shared" si="68"/>
        <v>5</v>
      </c>
      <c r="AV24" s="4">
        <f t="shared" si="69"/>
        <v>1</v>
      </c>
      <c r="AW24" s="4">
        <f t="shared" si="70"/>
        <v>4.2999999999999997E-2</v>
      </c>
      <c r="AX24" s="4">
        <f t="shared" si="71"/>
        <v>3</v>
      </c>
      <c r="AY24" s="4">
        <f t="shared" si="72"/>
        <v>5</v>
      </c>
      <c r="AZ24" s="4">
        <f t="shared" si="73"/>
        <v>1</v>
      </c>
      <c r="BA24" s="4">
        <f t="shared" si="74"/>
        <v>4.8000000000000001E-2</v>
      </c>
      <c r="BB24" s="4">
        <f t="shared" si="75"/>
        <v>3</v>
      </c>
      <c r="BC24" s="4">
        <f t="shared" si="76"/>
        <v>5</v>
      </c>
      <c r="BD24" s="4">
        <f t="shared" si="77"/>
        <v>1</v>
      </c>
      <c r="BE24" s="4">
        <f t="shared" si="78"/>
        <v>4.2999999999999997E-2</v>
      </c>
      <c r="BF24" s="4">
        <f t="shared" si="79"/>
        <v>3</v>
      </c>
      <c r="BG24" s="4">
        <f t="shared" si="80"/>
        <v>5</v>
      </c>
      <c r="BH24" s="4">
        <f t="shared" si="81"/>
        <v>1</v>
      </c>
      <c r="BI24" s="4">
        <f t="shared" si="82"/>
        <v>4.3999999999999997E-2</v>
      </c>
      <c r="BJ24" s="4">
        <f t="shared" si="83"/>
        <v>3</v>
      </c>
      <c r="BK24" s="4">
        <f t="shared" si="84"/>
        <v>5</v>
      </c>
      <c r="BL24" s="4">
        <f t="shared" si="85"/>
        <v>1</v>
      </c>
      <c r="BM24" s="4">
        <f t="shared" si="86"/>
        <v>4.8000000000000001E-2</v>
      </c>
    </row>
    <row r="25" spans="1:65" x14ac:dyDescent="0.25">
      <c r="A25" s="2" t="s">
        <v>8</v>
      </c>
      <c r="B25" s="2">
        <v>24</v>
      </c>
      <c r="C25" s="2">
        <v>35</v>
      </c>
      <c r="D25" s="2">
        <v>2</v>
      </c>
      <c r="E25" s="2">
        <v>4</v>
      </c>
      <c r="F25" s="2">
        <v>1</v>
      </c>
      <c r="H25" s="2">
        <v>2</v>
      </c>
      <c r="I25" s="2">
        <v>4</v>
      </c>
      <c r="J25" s="2">
        <v>1</v>
      </c>
      <c r="K25" s="2">
        <v>4.9000000000000002E-2</v>
      </c>
      <c r="M25" s="7">
        <f t="shared" si="39"/>
        <v>1</v>
      </c>
      <c r="N25" s="7">
        <f t="shared" si="40"/>
        <v>1</v>
      </c>
      <c r="O25" s="7">
        <f t="shared" si="41"/>
        <v>1</v>
      </c>
      <c r="P25" s="5">
        <f t="shared" si="42"/>
        <v>2</v>
      </c>
      <c r="Q25" s="5">
        <f t="shared" si="25"/>
        <v>2</v>
      </c>
      <c r="R25" s="5">
        <f t="shared" si="26"/>
        <v>4</v>
      </c>
      <c r="S25" s="5">
        <f t="shared" si="27"/>
        <v>4</v>
      </c>
      <c r="T25" s="5">
        <f t="shared" si="43"/>
        <v>0</v>
      </c>
      <c r="U25" s="5">
        <f t="shared" si="44"/>
        <v>0</v>
      </c>
      <c r="V25" s="5">
        <f t="shared" si="45"/>
        <v>0</v>
      </c>
      <c r="W25" s="5">
        <f t="shared" si="46"/>
        <v>0</v>
      </c>
      <c r="X25" s="5">
        <f t="shared" si="28"/>
        <v>4.9299999999999997E-2</v>
      </c>
      <c r="Z25" s="1">
        <f t="shared" si="47"/>
        <v>2</v>
      </c>
      <c r="AA25" s="1">
        <f t="shared" si="48"/>
        <v>4</v>
      </c>
      <c r="AB25" s="1">
        <f t="shared" si="49"/>
        <v>1</v>
      </c>
      <c r="AC25" s="1">
        <f t="shared" si="50"/>
        <v>4.9000000000000002E-2</v>
      </c>
      <c r="AD25" s="4">
        <f t="shared" si="51"/>
        <v>2</v>
      </c>
      <c r="AE25" s="4">
        <f t="shared" si="52"/>
        <v>4</v>
      </c>
      <c r="AF25" s="4">
        <f t="shared" si="53"/>
        <v>1</v>
      </c>
      <c r="AG25" s="4">
        <f t="shared" si="54"/>
        <v>4.9000000000000002E-2</v>
      </c>
      <c r="AH25" s="4">
        <f t="shared" si="55"/>
        <v>2</v>
      </c>
      <c r="AI25" s="4">
        <f t="shared" si="56"/>
        <v>4</v>
      </c>
      <c r="AJ25" s="4">
        <f t="shared" si="57"/>
        <v>1</v>
      </c>
      <c r="AK25" s="4">
        <f t="shared" si="58"/>
        <v>4.8000000000000001E-2</v>
      </c>
      <c r="AL25" s="4">
        <f t="shared" si="59"/>
        <v>2</v>
      </c>
      <c r="AM25" s="4">
        <f t="shared" si="60"/>
        <v>4</v>
      </c>
      <c r="AN25" s="4">
        <f t="shared" si="61"/>
        <v>1</v>
      </c>
      <c r="AO25" s="4">
        <f t="shared" si="62"/>
        <v>4.8000000000000001E-2</v>
      </c>
      <c r="AP25" s="4">
        <f t="shared" si="63"/>
        <v>2</v>
      </c>
      <c r="AQ25" s="4">
        <f t="shared" si="64"/>
        <v>4</v>
      </c>
      <c r="AR25" s="4">
        <f t="shared" si="65"/>
        <v>1</v>
      </c>
      <c r="AS25" s="4">
        <f t="shared" si="66"/>
        <v>4.7E-2</v>
      </c>
      <c r="AT25" s="4">
        <f t="shared" si="67"/>
        <v>2</v>
      </c>
      <c r="AU25" s="4">
        <f t="shared" si="68"/>
        <v>4</v>
      </c>
      <c r="AV25" s="4">
        <f t="shared" si="69"/>
        <v>1</v>
      </c>
      <c r="AW25" s="4">
        <f t="shared" si="70"/>
        <v>4.9000000000000002E-2</v>
      </c>
      <c r="AX25" s="4">
        <f t="shared" si="71"/>
        <v>2</v>
      </c>
      <c r="AY25" s="4">
        <f t="shared" si="72"/>
        <v>4</v>
      </c>
      <c r="AZ25" s="4">
        <f t="shared" si="73"/>
        <v>1</v>
      </c>
      <c r="BA25" s="4">
        <f t="shared" si="74"/>
        <v>5.3999999999999999E-2</v>
      </c>
      <c r="BB25" s="4">
        <f t="shared" si="75"/>
        <v>2</v>
      </c>
      <c r="BC25" s="4">
        <f t="shared" si="76"/>
        <v>4</v>
      </c>
      <c r="BD25" s="4">
        <f t="shared" si="77"/>
        <v>1</v>
      </c>
      <c r="BE25" s="4">
        <f t="shared" si="78"/>
        <v>4.9000000000000002E-2</v>
      </c>
      <c r="BF25" s="4">
        <f t="shared" si="79"/>
        <v>2</v>
      </c>
      <c r="BG25" s="4">
        <f t="shared" si="80"/>
        <v>4</v>
      </c>
      <c r="BH25" s="4">
        <f t="shared" si="81"/>
        <v>1</v>
      </c>
      <c r="BI25" s="4">
        <f t="shared" si="82"/>
        <v>4.8000000000000001E-2</v>
      </c>
      <c r="BJ25" s="4">
        <f t="shared" si="83"/>
        <v>2</v>
      </c>
      <c r="BK25" s="4">
        <f t="shared" si="84"/>
        <v>4</v>
      </c>
      <c r="BL25" s="4">
        <f t="shared" si="85"/>
        <v>1</v>
      </c>
      <c r="BM25" s="4">
        <f t="shared" si="86"/>
        <v>5.1999999999999998E-2</v>
      </c>
    </row>
    <row r="26" spans="1:65" x14ac:dyDescent="0.25">
      <c r="A26" s="2" t="s">
        <v>8</v>
      </c>
      <c r="B26" s="2">
        <v>24</v>
      </c>
      <c r="C26" s="2">
        <v>40</v>
      </c>
      <c r="D26" s="2">
        <v>2</v>
      </c>
      <c r="E26" s="2">
        <v>4</v>
      </c>
      <c r="F26" s="2">
        <v>1</v>
      </c>
      <c r="H26" s="2">
        <v>2</v>
      </c>
      <c r="I26" s="2">
        <v>4</v>
      </c>
      <c r="J26" s="2">
        <v>1</v>
      </c>
      <c r="K26" s="2">
        <v>5.0999999999999997E-2</v>
      </c>
      <c r="M26" s="7">
        <f t="shared" si="39"/>
        <v>1</v>
      </c>
      <c r="N26" s="7">
        <f t="shared" si="40"/>
        <v>1</v>
      </c>
      <c r="O26" s="7">
        <f t="shared" si="41"/>
        <v>1</v>
      </c>
      <c r="P26" s="5">
        <f t="shared" si="42"/>
        <v>2</v>
      </c>
      <c r="Q26" s="5">
        <f t="shared" si="25"/>
        <v>2</v>
      </c>
      <c r="R26" s="5">
        <f t="shared" si="26"/>
        <v>4</v>
      </c>
      <c r="S26" s="5">
        <f t="shared" si="27"/>
        <v>4</v>
      </c>
      <c r="T26" s="5">
        <f t="shared" si="43"/>
        <v>0</v>
      </c>
      <c r="U26" s="5">
        <f t="shared" si="44"/>
        <v>0</v>
      </c>
      <c r="V26" s="5">
        <f t="shared" si="45"/>
        <v>0</v>
      </c>
      <c r="W26" s="5">
        <f t="shared" si="46"/>
        <v>0</v>
      </c>
      <c r="X26" s="5">
        <f t="shared" si="28"/>
        <v>4.809999999999999E-2</v>
      </c>
      <c r="Z26" s="1">
        <f t="shared" si="47"/>
        <v>2</v>
      </c>
      <c r="AA26" s="1">
        <f t="shared" si="48"/>
        <v>4</v>
      </c>
      <c r="AB26" s="1">
        <f t="shared" si="49"/>
        <v>1</v>
      </c>
      <c r="AC26" s="1">
        <f t="shared" si="50"/>
        <v>5.0999999999999997E-2</v>
      </c>
      <c r="AD26" s="4">
        <f t="shared" si="51"/>
        <v>2</v>
      </c>
      <c r="AE26" s="4">
        <f t="shared" si="52"/>
        <v>4</v>
      </c>
      <c r="AF26" s="4">
        <f t="shared" si="53"/>
        <v>1</v>
      </c>
      <c r="AG26" s="4">
        <f t="shared" si="54"/>
        <v>4.7E-2</v>
      </c>
      <c r="AH26" s="4">
        <f t="shared" si="55"/>
        <v>2</v>
      </c>
      <c r="AI26" s="4">
        <f t="shared" si="56"/>
        <v>4</v>
      </c>
      <c r="AJ26" s="4">
        <f t="shared" si="57"/>
        <v>1</v>
      </c>
      <c r="AK26" s="4">
        <f t="shared" si="58"/>
        <v>4.7E-2</v>
      </c>
      <c r="AL26" s="4">
        <f t="shared" si="59"/>
        <v>2</v>
      </c>
      <c r="AM26" s="4">
        <f t="shared" si="60"/>
        <v>4</v>
      </c>
      <c r="AN26" s="4">
        <f t="shared" si="61"/>
        <v>1</v>
      </c>
      <c r="AO26" s="4">
        <f t="shared" si="62"/>
        <v>4.5999999999999999E-2</v>
      </c>
      <c r="AP26" s="4">
        <f t="shared" si="63"/>
        <v>2</v>
      </c>
      <c r="AQ26" s="4">
        <f t="shared" si="64"/>
        <v>4</v>
      </c>
      <c r="AR26" s="4">
        <f t="shared" si="65"/>
        <v>1</v>
      </c>
      <c r="AS26" s="4">
        <f t="shared" si="66"/>
        <v>4.5999999999999999E-2</v>
      </c>
      <c r="AT26" s="4">
        <f t="shared" si="67"/>
        <v>2</v>
      </c>
      <c r="AU26" s="4">
        <f t="shared" si="68"/>
        <v>4</v>
      </c>
      <c r="AV26" s="4">
        <f t="shared" si="69"/>
        <v>1</v>
      </c>
      <c r="AW26" s="4">
        <f t="shared" si="70"/>
        <v>4.5999999999999999E-2</v>
      </c>
      <c r="AX26" s="4">
        <f t="shared" si="71"/>
        <v>2</v>
      </c>
      <c r="AY26" s="4">
        <f t="shared" si="72"/>
        <v>4</v>
      </c>
      <c r="AZ26" s="4">
        <f t="shared" si="73"/>
        <v>1</v>
      </c>
      <c r="BA26" s="4">
        <f t="shared" si="74"/>
        <v>5.2999999999999999E-2</v>
      </c>
      <c r="BB26" s="4">
        <f t="shared" si="75"/>
        <v>2</v>
      </c>
      <c r="BC26" s="4">
        <f t="shared" si="76"/>
        <v>4</v>
      </c>
      <c r="BD26" s="4">
        <f t="shared" si="77"/>
        <v>1</v>
      </c>
      <c r="BE26" s="4">
        <f t="shared" si="78"/>
        <v>4.5999999999999999E-2</v>
      </c>
      <c r="BF26" s="4">
        <f t="shared" si="79"/>
        <v>2</v>
      </c>
      <c r="BG26" s="4">
        <f t="shared" si="80"/>
        <v>4</v>
      </c>
      <c r="BH26" s="4">
        <f t="shared" si="81"/>
        <v>1</v>
      </c>
      <c r="BI26" s="4">
        <f t="shared" si="82"/>
        <v>4.5999999999999999E-2</v>
      </c>
      <c r="BJ26" s="4">
        <f t="shared" si="83"/>
        <v>2</v>
      </c>
      <c r="BK26" s="4">
        <f t="shared" si="84"/>
        <v>4</v>
      </c>
      <c r="BL26" s="4">
        <f t="shared" si="85"/>
        <v>1</v>
      </c>
      <c r="BM26" s="4">
        <f t="shared" si="86"/>
        <v>5.2999999999999999E-2</v>
      </c>
    </row>
    <row r="27" spans="1:65" x14ac:dyDescent="0.25">
      <c r="A27" s="2" t="s">
        <v>9</v>
      </c>
      <c r="B27" s="2">
        <v>65</v>
      </c>
      <c r="C27" s="2">
        <v>326</v>
      </c>
      <c r="D27" s="2">
        <v>8</v>
      </c>
      <c r="E27" s="2">
        <v>16</v>
      </c>
      <c r="F27" s="2">
        <v>1</v>
      </c>
      <c r="H27" s="2">
        <v>8</v>
      </c>
      <c r="I27" s="2">
        <v>16</v>
      </c>
      <c r="J27" s="2">
        <v>1</v>
      </c>
      <c r="K27" s="2">
        <v>0.151</v>
      </c>
      <c r="M27" s="7">
        <f t="shared" si="39"/>
        <v>1</v>
      </c>
      <c r="N27" s="7">
        <f t="shared" si="40"/>
        <v>1</v>
      </c>
      <c r="O27" s="7">
        <f t="shared" si="41"/>
        <v>1</v>
      </c>
      <c r="P27" s="5">
        <f t="shared" si="42"/>
        <v>8</v>
      </c>
      <c r="Q27" s="5">
        <f t="shared" si="25"/>
        <v>8</v>
      </c>
      <c r="R27" s="5">
        <f t="shared" si="26"/>
        <v>16</v>
      </c>
      <c r="S27" s="5">
        <f t="shared" si="27"/>
        <v>16</v>
      </c>
      <c r="T27" s="5">
        <f t="shared" si="43"/>
        <v>0</v>
      </c>
      <c r="U27" s="5">
        <f t="shared" si="44"/>
        <v>0</v>
      </c>
      <c r="V27" s="5">
        <f t="shared" si="45"/>
        <v>0</v>
      </c>
      <c r="W27" s="5">
        <f t="shared" si="46"/>
        <v>0</v>
      </c>
      <c r="X27" s="5">
        <f t="shared" si="28"/>
        <v>0.15479999999999999</v>
      </c>
      <c r="Z27" s="1">
        <f t="shared" si="47"/>
        <v>8</v>
      </c>
      <c r="AA27" s="1">
        <f t="shared" si="48"/>
        <v>16</v>
      </c>
      <c r="AB27" s="1">
        <f t="shared" si="49"/>
        <v>1</v>
      </c>
      <c r="AC27" s="1">
        <f t="shared" si="50"/>
        <v>0.151</v>
      </c>
      <c r="AD27" s="4">
        <f t="shared" si="51"/>
        <v>8</v>
      </c>
      <c r="AE27" s="4">
        <f t="shared" si="52"/>
        <v>16</v>
      </c>
      <c r="AF27" s="4">
        <f t="shared" si="53"/>
        <v>1</v>
      </c>
      <c r="AG27" s="4">
        <f t="shared" si="54"/>
        <v>0.152</v>
      </c>
      <c r="AH27" s="4">
        <f t="shared" si="55"/>
        <v>8</v>
      </c>
      <c r="AI27" s="4">
        <f t="shared" si="56"/>
        <v>16</v>
      </c>
      <c r="AJ27" s="4">
        <f t="shared" si="57"/>
        <v>1</v>
      </c>
      <c r="AK27" s="4">
        <f t="shared" si="58"/>
        <v>0.14799999999999999</v>
      </c>
      <c r="AL27" s="4">
        <f t="shared" si="59"/>
        <v>8</v>
      </c>
      <c r="AM27" s="4">
        <f t="shared" si="60"/>
        <v>16</v>
      </c>
      <c r="AN27" s="4">
        <f t="shared" si="61"/>
        <v>1</v>
      </c>
      <c r="AO27" s="4">
        <f t="shared" si="62"/>
        <v>0.16700000000000001</v>
      </c>
      <c r="AP27" s="4">
        <f t="shared" si="63"/>
        <v>8</v>
      </c>
      <c r="AQ27" s="4">
        <f t="shared" si="64"/>
        <v>16</v>
      </c>
      <c r="AR27" s="4">
        <f t="shared" si="65"/>
        <v>1</v>
      </c>
      <c r="AS27" s="4">
        <f t="shared" si="66"/>
        <v>0.15</v>
      </c>
      <c r="AT27" s="4">
        <f t="shared" si="67"/>
        <v>8</v>
      </c>
      <c r="AU27" s="4">
        <f t="shared" si="68"/>
        <v>16</v>
      </c>
      <c r="AV27" s="4">
        <f t="shared" si="69"/>
        <v>1</v>
      </c>
      <c r="AW27" s="4">
        <f t="shared" si="70"/>
        <v>0.15</v>
      </c>
      <c r="AX27" s="4">
        <f t="shared" si="71"/>
        <v>8</v>
      </c>
      <c r="AY27" s="4">
        <f t="shared" si="72"/>
        <v>16</v>
      </c>
      <c r="AZ27" s="4">
        <f t="shared" si="73"/>
        <v>1</v>
      </c>
      <c r="BA27" s="4">
        <f t="shared" si="74"/>
        <v>0.16200000000000001</v>
      </c>
      <c r="BB27" s="4">
        <f t="shared" si="75"/>
        <v>8</v>
      </c>
      <c r="BC27" s="4">
        <f t="shared" si="76"/>
        <v>16</v>
      </c>
      <c r="BD27" s="4">
        <f t="shared" si="77"/>
        <v>1</v>
      </c>
      <c r="BE27" s="4">
        <f t="shared" si="78"/>
        <v>0.14899999999999999</v>
      </c>
      <c r="BF27" s="4">
        <f t="shared" si="79"/>
        <v>8</v>
      </c>
      <c r="BG27" s="4">
        <f t="shared" si="80"/>
        <v>16</v>
      </c>
      <c r="BH27" s="4">
        <f t="shared" si="81"/>
        <v>1</v>
      </c>
      <c r="BI27" s="4">
        <f t="shared" si="82"/>
        <v>0.152</v>
      </c>
      <c r="BJ27" s="4">
        <f t="shared" si="83"/>
        <v>8</v>
      </c>
      <c r="BK27" s="4">
        <f t="shared" si="84"/>
        <v>16</v>
      </c>
      <c r="BL27" s="4">
        <f t="shared" si="85"/>
        <v>1</v>
      </c>
      <c r="BM27" s="4">
        <f t="shared" si="86"/>
        <v>0.16700000000000001</v>
      </c>
    </row>
    <row r="28" spans="1:65" x14ac:dyDescent="0.25">
      <c r="A28" s="2" t="s">
        <v>9</v>
      </c>
      <c r="B28" s="2">
        <v>65</v>
      </c>
      <c r="C28" s="2">
        <v>381</v>
      </c>
      <c r="D28" s="2">
        <v>7</v>
      </c>
      <c r="E28" s="2">
        <v>14</v>
      </c>
      <c r="F28" s="2">
        <v>1</v>
      </c>
      <c r="H28" s="2">
        <v>7</v>
      </c>
      <c r="I28" s="2">
        <v>14</v>
      </c>
      <c r="J28" s="2">
        <v>1</v>
      </c>
      <c r="K28" s="2">
        <v>0.155</v>
      </c>
      <c r="M28" s="7">
        <f t="shared" si="39"/>
        <v>1</v>
      </c>
      <c r="N28" s="7">
        <f t="shared" si="40"/>
        <v>1</v>
      </c>
      <c r="O28" s="7">
        <f t="shared" si="41"/>
        <v>1</v>
      </c>
      <c r="P28" s="5">
        <f t="shared" si="42"/>
        <v>7</v>
      </c>
      <c r="Q28" s="5">
        <f t="shared" si="25"/>
        <v>7</v>
      </c>
      <c r="R28" s="5">
        <f t="shared" si="26"/>
        <v>14</v>
      </c>
      <c r="S28" s="5">
        <f t="shared" si="27"/>
        <v>14</v>
      </c>
      <c r="T28" s="5">
        <f t="shared" si="43"/>
        <v>0</v>
      </c>
      <c r="U28" s="5">
        <f t="shared" si="44"/>
        <v>0</v>
      </c>
      <c r="V28" s="5">
        <f t="shared" si="45"/>
        <v>0</v>
      </c>
      <c r="W28" s="5">
        <f t="shared" si="46"/>
        <v>0</v>
      </c>
      <c r="X28" s="5">
        <f t="shared" si="28"/>
        <v>0.1477</v>
      </c>
      <c r="Z28" s="1">
        <f>H28</f>
        <v>7</v>
      </c>
      <c r="AA28" s="1">
        <f t="shared" si="48"/>
        <v>14</v>
      </c>
      <c r="AB28" s="1">
        <f t="shared" si="49"/>
        <v>1</v>
      </c>
      <c r="AC28" s="1">
        <f t="shared" si="50"/>
        <v>0.155</v>
      </c>
      <c r="AD28" s="4">
        <f t="shared" si="51"/>
        <v>7</v>
      </c>
      <c r="AE28" s="4">
        <f t="shared" si="52"/>
        <v>14</v>
      </c>
      <c r="AF28" s="4">
        <f t="shared" si="53"/>
        <v>1</v>
      </c>
      <c r="AG28" s="4">
        <f t="shared" si="54"/>
        <v>0.14399999999999999</v>
      </c>
      <c r="AH28" s="4">
        <f t="shared" si="55"/>
        <v>7</v>
      </c>
      <c r="AI28" s="4">
        <f t="shared" si="56"/>
        <v>14</v>
      </c>
      <c r="AJ28" s="4">
        <f t="shared" si="57"/>
        <v>1</v>
      </c>
      <c r="AK28" s="4">
        <f t="shared" si="58"/>
        <v>0.14699999999999999</v>
      </c>
      <c r="AL28" s="4">
        <f t="shared" si="59"/>
        <v>7</v>
      </c>
      <c r="AM28" s="4">
        <f t="shared" si="60"/>
        <v>14</v>
      </c>
      <c r="AN28" s="4">
        <f t="shared" si="61"/>
        <v>1</v>
      </c>
      <c r="AO28" s="4">
        <f t="shared" si="62"/>
        <v>0.14399999999999999</v>
      </c>
      <c r="AP28" s="4">
        <f t="shared" si="63"/>
        <v>7</v>
      </c>
      <c r="AQ28" s="4">
        <f t="shared" si="64"/>
        <v>14</v>
      </c>
      <c r="AR28" s="4">
        <f t="shared" si="65"/>
        <v>1</v>
      </c>
      <c r="AS28" s="4">
        <f t="shared" si="66"/>
        <v>0.14299999999999999</v>
      </c>
      <c r="AT28" s="4">
        <f t="shared" si="67"/>
        <v>7</v>
      </c>
      <c r="AU28" s="4">
        <f t="shared" si="68"/>
        <v>14</v>
      </c>
      <c r="AV28" s="4">
        <f t="shared" si="69"/>
        <v>1</v>
      </c>
      <c r="AW28" s="4">
        <f t="shared" si="70"/>
        <v>0.14299999999999999</v>
      </c>
      <c r="AX28" s="4">
        <f t="shared" si="71"/>
        <v>7</v>
      </c>
      <c r="AY28" s="4">
        <f t="shared" si="72"/>
        <v>14</v>
      </c>
      <c r="AZ28" s="4">
        <f t="shared" si="73"/>
        <v>1</v>
      </c>
      <c r="BA28" s="4">
        <f t="shared" si="74"/>
        <v>0.157</v>
      </c>
      <c r="BB28" s="4">
        <f t="shared" si="75"/>
        <v>7</v>
      </c>
      <c r="BC28" s="4">
        <f t="shared" si="76"/>
        <v>14</v>
      </c>
      <c r="BD28" s="4">
        <f t="shared" si="77"/>
        <v>1</v>
      </c>
      <c r="BE28" s="4">
        <f t="shared" si="78"/>
        <v>0.14499999999999999</v>
      </c>
      <c r="BF28" s="4">
        <f t="shared" si="79"/>
        <v>7</v>
      </c>
      <c r="BG28" s="4">
        <f t="shared" si="80"/>
        <v>14</v>
      </c>
      <c r="BH28" s="4">
        <f t="shared" si="81"/>
        <v>1</v>
      </c>
      <c r="BI28" s="4">
        <f t="shared" si="82"/>
        <v>0.14399999999999999</v>
      </c>
      <c r="BJ28" s="4">
        <f t="shared" si="83"/>
        <v>7</v>
      </c>
      <c r="BK28" s="4">
        <f t="shared" si="84"/>
        <v>14</v>
      </c>
      <c r="BL28" s="4">
        <f t="shared" si="85"/>
        <v>1</v>
      </c>
      <c r="BM28" s="4">
        <f t="shared" si="86"/>
        <v>0.155</v>
      </c>
    </row>
    <row r="29" spans="1:65" x14ac:dyDescent="0.25">
      <c r="A29" s="2" t="s">
        <v>9</v>
      </c>
      <c r="B29" s="2">
        <v>65</v>
      </c>
      <c r="C29" s="2">
        <v>435</v>
      </c>
      <c r="D29" s="2">
        <v>6</v>
      </c>
      <c r="E29" s="2">
        <v>12</v>
      </c>
      <c r="F29" s="2">
        <v>1</v>
      </c>
      <c r="H29" s="2">
        <v>6</v>
      </c>
      <c r="I29" s="2">
        <v>12</v>
      </c>
      <c r="J29" s="2">
        <v>1</v>
      </c>
      <c r="K29" s="2">
        <v>4.8150000000000004</v>
      </c>
      <c r="M29" s="7">
        <f t="shared" si="39"/>
        <v>1</v>
      </c>
      <c r="N29" s="7">
        <f t="shared" si="40"/>
        <v>1</v>
      </c>
      <c r="O29" s="7">
        <f t="shared" si="41"/>
        <v>1</v>
      </c>
      <c r="P29" s="5">
        <f t="shared" si="42"/>
        <v>6</v>
      </c>
      <c r="Q29" s="5">
        <f t="shared" si="25"/>
        <v>6</v>
      </c>
      <c r="R29" s="5">
        <f t="shared" si="26"/>
        <v>12</v>
      </c>
      <c r="S29" s="5">
        <f t="shared" si="27"/>
        <v>12</v>
      </c>
      <c r="T29" s="5">
        <f t="shared" si="43"/>
        <v>0</v>
      </c>
      <c r="U29" s="5">
        <f t="shared" si="44"/>
        <v>0</v>
      </c>
      <c r="V29" s="5">
        <f t="shared" si="45"/>
        <v>0</v>
      </c>
      <c r="W29" s="5">
        <f t="shared" si="46"/>
        <v>0</v>
      </c>
      <c r="X29" s="5">
        <f t="shared" si="28"/>
        <v>4.7680000000000007</v>
      </c>
      <c r="Z29" s="1">
        <f t="shared" ref="Z29:Z60" si="87">H29</f>
        <v>6</v>
      </c>
      <c r="AA29" s="1">
        <f t="shared" si="48"/>
        <v>12</v>
      </c>
      <c r="AB29" s="1">
        <f t="shared" si="49"/>
        <v>1</v>
      </c>
      <c r="AC29" s="1">
        <f t="shared" si="50"/>
        <v>4.8150000000000004</v>
      </c>
      <c r="AD29" s="4">
        <f t="shared" si="51"/>
        <v>6</v>
      </c>
      <c r="AE29" s="4">
        <f t="shared" si="52"/>
        <v>12</v>
      </c>
      <c r="AF29" s="4">
        <f t="shared" si="53"/>
        <v>1</v>
      </c>
      <c r="AG29" s="4">
        <f t="shared" si="54"/>
        <v>4.6310000000000002</v>
      </c>
      <c r="AH29" s="4">
        <f t="shared" si="55"/>
        <v>6</v>
      </c>
      <c r="AI29" s="4">
        <f t="shared" si="56"/>
        <v>12</v>
      </c>
      <c r="AJ29" s="4">
        <f t="shared" si="57"/>
        <v>1</v>
      </c>
      <c r="AK29" s="4">
        <f t="shared" si="58"/>
        <v>4.78</v>
      </c>
      <c r="AL29" s="4">
        <f t="shared" si="59"/>
        <v>6</v>
      </c>
      <c r="AM29" s="4">
        <f t="shared" si="60"/>
        <v>12</v>
      </c>
      <c r="AN29" s="4">
        <f t="shared" si="61"/>
        <v>1</v>
      </c>
      <c r="AO29" s="4">
        <f t="shared" si="62"/>
        <v>4.7629999999999999</v>
      </c>
      <c r="AP29" s="4">
        <f t="shared" si="63"/>
        <v>6</v>
      </c>
      <c r="AQ29" s="4">
        <f t="shared" si="64"/>
        <v>12</v>
      </c>
      <c r="AR29" s="4">
        <f t="shared" si="65"/>
        <v>1</v>
      </c>
      <c r="AS29" s="4">
        <f t="shared" si="66"/>
        <v>4.6429999999999998</v>
      </c>
      <c r="AT29" s="4">
        <f t="shared" si="67"/>
        <v>6</v>
      </c>
      <c r="AU29" s="4">
        <f t="shared" si="68"/>
        <v>12</v>
      </c>
      <c r="AV29" s="4">
        <f t="shared" si="69"/>
        <v>1</v>
      </c>
      <c r="AW29" s="4">
        <f t="shared" si="70"/>
        <v>4.6500000000000004</v>
      </c>
      <c r="AX29" s="4">
        <f t="shared" si="71"/>
        <v>6</v>
      </c>
      <c r="AY29" s="4">
        <f t="shared" si="72"/>
        <v>12</v>
      </c>
      <c r="AZ29" s="4">
        <f t="shared" si="73"/>
        <v>1</v>
      </c>
      <c r="BA29" s="4">
        <f t="shared" si="74"/>
        <v>5.085</v>
      </c>
      <c r="BB29" s="4">
        <f t="shared" si="75"/>
        <v>6</v>
      </c>
      <c r="BC29" s="4">
        <f t="shared" si="76"/>
        <v>12</v>
      </c>
      <c r="BD29" s="4">
        <f t="shared" si="77"/>
        <v>1</v>
      </c>
      <c r="BE29" s="4">
        <f t="shared" si="78"/>
        <v>4.6500000000000004</v>
      </c>
      <c r="BF29" s="4">
        <f t="shared" si="79"/>
        <v>6</v>
      </c>
      <c r="BG29" s="4">
        <f t="shared" si="80"/>
        <v>12</v>
      </c>
      <c r="BH29" s="4">
        <f t="shared" si="81"/>
        <v>1</v>
      </c>
      <c r="BI29" s="4">
        <f t="shared" si="82"/>
        <v>4.6180000000000003</v>
      </c>
      <c r="BJ29" s="4">
        <f t="shared" si="83"/>
        <v>6</v>
      </c>
      <c r="BK29" s="4">
        <f t="shared" si="84"/>
        <v>12</v>
      </c>
      <c r="BL29" s="4">
        <f t="shared" si="85"/>
        <v>1</v>
      </c>
      <c r="BM29" s="4">
        <f t="shared" si="86"/>
        <v>5.0449999999999999</v>
      </c>
    </row>
    <row r="30" spans="1:65" x14ac:dyDescent="0.25">
      <c r="A30" s="2" t="s">
        <v>9</v>
      </c>
      <c r="B30" s="2">
        <v>65</v>
      </c>
      <c r="C30" s="2">
        <v>490</v>
      </c>
      <c r="D30" s="2">
        <v>6</v>
      </c>
      <c r="E30" s="2">
        <v>11</v>
      </c>
      <c r="F30" s="2">
        <v>1</v>
      </c>
      <c r="H30" s="2">
        <v>6</v>
      </c>
      <c r="I30" s="2">
        <v>11</v>
      </c>
      <c r="J30" s="2">
        <v>1</v>
      </c>
      <c r="K30" s="2">
        <v>11.45</v>
      </c>
      <c r="M30" s="7">
        <f t="shared" si="39"/>
        <v>1</v>
      </c>
      <c r="N30" s="7">
        <f t="shared" si="40"/>
        <v>1</v>
      </c>
      <c r="O30" s="7">
        <f t="shared" si="41"/>
        <v>1</v>
      </c>
      <c r="P30" s="5">
        <f t="shared" si="42"/>
        <v>6</v>
      </c>
      <c r="Q30" s="5">
        <f t="shared" si="25"/>
        <v>6</v>
      </c>
      <c r="R30" s="5">
        <f t="shared" si="26"/>
        <v>11</v>
      </c>
      <c r="S30" s="5">
        <f t="shared" si="27"/>
        <v>11</v>
      </c>
      <c r="T30" s="5">
        <f t="shared" si="43"/>
        <v>0</v>
      </c>
      <c r="U30" s="5">
        <f t="shared" si="44"/>
        <v>0</v>
      </c>
      <c r="V30" s="5">
        <f t="shared" si="45"/>
        <v>0</v>
      </c>
      <c r="W30" s="5">
        <f t="shared" si="46"/>
        <v>0</v>
      </c>
      <c r="X30" s="5">
        <f t="shared" si="28"/>
        <v>8.6426999999999996</v>
      </c>
      <c r="Z30" s="1">
        <f t="shared" si="87"/>
        <v>6</v>
      </c>
      <c r="AA30" s="1">
        <f t="shared" si="48"/>
        <v>11</v>
      </c>
      <c r="AB30" s="1">
        <f t="shared" si="49"/>
        <v>1</v>
      </c>
      <c r="AC30" s="1">
        <f t="shared" si="50"/>
        <v>11.45</v>
      </c>
      <c r="AD30" s="4">
        <f t="shared" si="51"/>
        <v>6</v>
      </c>
      <c r="AE30" s="4">
        <f t="shared" si="52"/>
        <v>11</v>
      </c>
      <c r="AF30" s="4">
        <f t="shared" si="53"/>
        <v>1</v>
      </c>
      <c r="AG30" s="4">
        <f t="shared" si="54"/>
        <v>8.1430000000000007</v>
      </c>
      <c r="AH30" s="4">
        <f t="shared" si="55"/>
        <v>6</v>
      </c>
      <c r="AI30" s="4">
        <f t="shared" si="56"/>
        <v>11</v>
      </c>
      <c r="AJ30" s="4">
        <f t="shared" si="57"/>
        <v>1</v>
      </c>
      <c r="AK30" s="4">
        <f t="shared" si="58"/>
        <v>8.3829999999999991</v>
      </c>
      <c r="AL30" s="4">
        <f t="shared" si="59"/>
        <v>6</v>
      </c>
      <c r="AM30" s="4">
        <f t="shared" si="60"/>
        <v>11</v>
      </c>
      <c r="AN30" s="4">
        <f t="shared" si="61"/>
        <v>1</v>
      </c>
      <c r="AO30" s="4">
        <f t="shared" si="62"/>
        <v>8.343</v>
      </c>
      <c r="AP30" s="4">
        <f t="shared" si="63"/>
        <v>6</v>
      </c>
      <c r="AQ30" s="4">
        <f t="shared" si="64"/>
        <v>11</v>
      </c>
      <c r="AR30" s="4">
        <f t="shared" si="65"/>
        <v>1</v>
      </c>
      <c r="AS30" s="4">
        <f t="shared" si="66"/>
        <v>8.1460000000000008</v>
      </c>
      <c r="AT30" s="4">
        <f t="shared" si="67"/>
        <v>6</v>
      </c>
      <c r="AU30" s="4">
        <f t="shared" si="68"/>
        <v>11</v>
      </c>
      <c r="AV30" s="4">
        <f t="shared" si="69"/>
        <v>1</v>
      </c>
      <c r="AW30" s="4">
        <f t="shared" si="70"/>
        <v>8.1199999999999992</v>
      </c>
      <c r="AX30" s="4">
        <f t="shared" si="71"/>
        <v>6</v>
      </c>
      <c r="AY30" s="4">
        <f t="shared" si="72"/>
        <v>11</v>
      </c>
      <c r="AZ30" s="4">
        <f t="shared" si="73"/>
        <v>1</v>
      </c>
      <c r="BA30" s="4">
        <f t="shared" si="74"/>
        <v>8.8059999999999992</v>
      </c>
      <c r="BB30" s="4">
        <f t="shared" si="75"/>
        <v>6</v>
      </c>
      <c r="BC30" s="4">
        <f t="shared" si="76"/>
        <v>11</v>
      </c>
      <c r="BD30" s="4">
        <f t="shared" si="77"/>
        <v>1</v>
      </c>
      <c r="BE30" s="4">
        <f t="shared" si="78"/>
        <v>8.093</v>
      </c>
      <c r="BF30" s="4">
        <f t="shared" si="79"/>
        <v>6</v>
      </c>
      <c r="BG30" s="4">
        <f t="shared" si="80"/>
        <v>11</v>
      </c>
      <c r="BH30" s="4">
        <f t="shared" si="81"/>
        <v>1</v>
      </c>
      <c r="BI30" s="4">
        <f t="shared" si="82"/>
        <v>8.1359999999999992</v>
      </c>
      <c r="BJ30" s="4">
        <f t="shared" si="83"/>
        <v>6</v>
      </c>
      <c r="BK30" s="4">
        <f t="shared" si="84"/>
        <v>11</v>
      </c>
      <c r="BL30" s="4">
        <f t="shared" si="85"/>
        <v>1</v>
      </c>
      <c r="BM30" s="4">
        <f t="shared" si="86"/>
        <v>8.8070000000000004</v>
      </c>
    </row>
    <row r="31" spans="1:65" x14ac:dyDescent="0.25">
      <c r="A31" s="2" t="s">
        <v>9</v>
      </c>
      <c r="B31" s="2">
        <v>65</v>
      </c>
      <c r="C31" s="2">
        <v>512</v>
      </c>
      <c r="D31" s="2">
        <v>5</v>
      </c>
      <c r="E31" s="2">
        <v>10</v>
      </c>
      <c r="F31" s="2">
        <v>1</v>
      </c>
      <c r="H31" s="2">
        <v>6</v>
      </c>
      <c r="I31" s="2">
        <v>10</v>
      </c>
      <c r="J31" s="2">
        <v>0</v>
      </c>
      <c r="K31" s="2">
        <v>300.13</v>
      </c>
      <c r="M31" s="7">
        <f t="shared" si="39"/>
        <v>0</v>
      </c>
      <c r="N31" s="7">
        <f t="shared" si="40"/>
        <v>0</v>
      </c>
      <c r="O31" s="7">
        <f t="shared" si="41"/>
        <v>0</v>
      </c>
      <c r="P31" s="5">
        <f t="shared" si="42"/>
        <v>6</v>
      </c>
      <c r="Q31" s="5">
        <f t="shared" si="25"/>
        <v>6</v>
      </c>
      <c r="R31" s="5">
        <f t="shared" si="26"/>
        <v>10</v>
      </c>
      <c r="S31" s="5">
        <f t="shared" si="27"/>
        <v>10</v>
      </c>
      <c r="T31" s="5">
        <f t="shared" si="43"/>
        <v>20</v>
      </c>
      <c r="U31" s="5">
        <f t="shared" si="44"/>
        <v>20</v>
      </c>
      <c r="V31" s="5">
        <f t="shared" si="45"/>
        <v>0</v>
      </c>
      <c r="W31" s="5">
        <f t="shared" si="46"/>
        <v>0</v>
      </c>
      <c r="X31" s="5">
        <f t="shared" si="28"/>
        <v>300.09219999999999</v>
      </c>
      <c r="Z31" s="1">
        <f t="shared" si="87"/>
        <v>6</v>
      </c>
      <c r="AA31" s="1">
        <f t="shared" si="48"/>
        <v>10</v>
      </c>
      <c r="AB31" s="1">
        <f t="shared" si="49"/>
        <v>0</v>
      </c>
      <c r="AC31" s="1">
        <f t="shared" si="50"/>
        <v>300.13</v>
      </c>
      <c r="AD31" s="4">
        <f t="shared" si="51"/>
        <v>6</v>
      </c>
      <c r="AE31" s="4">
        <f t="shared" si="52"/>
        <v>10</v>
      </c>
      <c r="AF31" s="4">
        <f t="shared" si="53"/>
        <v>0</v>
      </c>
      <c r="AG31" s="4">
        <f t="shared" si="54"/>
        <v>300.08699999999999</v>
      </c>
      <c r="AH31" s="4">
        <f t="shared" si="55"/>
        <v>6</v>
      </c>
      <c r="AI31" s="4">
        <f t="shared" si="56"/>
        <v>10</v>
      </c>
      <c r="AJ31" s="4">
        <f t="shared" si="57"/>
        <v>0</v>
      </c>
      <c r="AK31" s="4">
        <f t="shared" si="58"/>
        <v>300.12200000000001</v>
      </c>
      <c r="AL31" s="4">
        <f t="shared" si="59"/>
        <v>6</v>
      </c>
      <c r="AM31" s="4">
        <f t="shared" si="60"/>
        <v>10</v>
      </c>
      <c r="AN31" s="4">
        <f t="shared" si="61"/>
        <v>0</v>
      </c>
      <c r="AO31" s="4">
        <f t="shared" si="62"/>
        <v>300.113</v>
      </c>
      <c r="AP31" s="4">
        <f t="shared" si="63"/>
        <v>6</v>
      </c>
      <c r="AQ31" s="4">
        <f t="shared" si="64"/>
        <v>10</v>
      </c>
      <c r="AR31" s="4">
        <f t="shared" si="65"/>
        <v>0</v>
      </c>
      <c r="AS31" s="4">
        <f t="shared" si="66"/>
        <v>300.10199999999998</v>
      </c>
      <c r="AT31" s="4">
        <f t="shared" si="67"/>
        <v>6</v>
      </c>
      <c r="AU31" s="4">
        <f t="shared" si="68"/>
        <v>10</v>
      </c>
      <c r="AV31" s="4">
        <f t="shared" si="69"/>
        <v>0</v>
      </c>
      <c r="AW31" s="4">
        <f t="shared" si="70"/>
        <v>300.07799999999997</v>
      </c>
      <c r="AX31" s="4">
        <f t="shared" si="71"/>
        <v>6</v>
      </c>
      <c r="AY31" s="4">
        <f t="shared" si="72"/>
        <v>10</v>
      </c>
      <c r="AZ31" s="4">
        <f t="shared" si="73"/>
        <v>0</v>
      </c>
      <c r="BA31" s="4">
        <f t="shared" si="74"/>
        <v>300.12099999999998</v>
      </c>
      <c r="BB31" s="4">
        <f t="shared" si="75"/>
        <v>6</v>
      </c>
      <c r="BC31" s="4">
        <f t="shared" si="76"/>
        <v>10</v>
      </c>
      <c r="BD31" s="4">
        <f t="shared" si="77"/>
        <v>0</v>
      </c>
      <c r="BE31" s="4">
        <f t="shared" si="78"/>
        <v>300.09399999999999</v>
      </c>
      <c r="BF31" s="4">
        <f t="shared" si="79"/>
        <v>6</v>
      </c>
      <c r="BG31" s="4">
        <f t="shared" si="80"/>
        <v>10</v>
      </c>
      <c r="BH31" s="4">
        <f t="shared" si="81"/>
        <v>0</v>
      </c>
      <c r="BI31" s="4">
        <f t="shared" si="82"/>
        <v>300.03500000000003</v>
      </c>
      <c r="BJ31" s="4">
        <f t="shared" si="83"/>
        <v>6</v>
      </c>
      <c r="BK31" s="4">
        <f t="shared" si="84"/>
        <v>10</v>
      </c>
      <c r="BL31" s="4">
        <f t="shared" si="85"/>
        <v>0</v>
      </c>
      <c r="BM31" s="4">
        <f t="shared" si="86"/>
        <v>300.04000000000002</v>
      </c>
    </row>
    <row r="32" spans="1:65" x14ac:dyDescent="0.25">
      <c r="A32" s="2" t="s">
        <v>9</v>
      </c>
      <c r="B32" s="2">
        <v>65</v>
      </c>
      <c r="C32" s="2">
        <v>544</v>
      </c>
      <c r="D32" s="2">
        <v>5</v>
      </c>
      <c r="E32" s="2">
        <v>10</v>
      </c>
      <c r="F32" s="2">
        <v>1</v>
      </c>
      <c r="H32" s="2">
        <v>5</v>
      </c>
      <c r="I32" s="2">
        <v>10</v>
      </c>
      <c r="J32" s="2">
        <v>1</v>
      </c>
      <c r="K32" s="2">
        <v>11.157999999999999</v>
      </c>
      <c r="M32" s="7">
        <f t="shared" si="39"/>
        <v>1</v>
      </c>
      <c r="N32" s="7">
        <f t="shared" si="40"/>
        <v>1</v>
      </c>
      <c r="O32" s="7">
        <f t="shared" si="41"/>
        <v>1</v>
      </c>
      <c r="P32" s="5">
        <f t="shared" si="42"/>
        <v>5</v>
      </c>
      <c r="Q32" s="5">
        <f t="shared" si="25"/>
        <v>5</v>
      </c>
      <c r="R32" s="5">
        <f t="shared" si="26"/>
        <v>10</v>
      </c>
      <c r="S32" s="5">
        <f t="shared" si="27"/>
        <v>10</v>
      </c>
      <c r="T32" s="5">
        <f t="shared" si="43"/>
        <v>0</v>
      </c>
      <c r="U32" s="5">
        <f t="shared" si="44"/>
        <v>0</v>
      </c>
      <c r="V32" s="5">
        <f t="shared" si="45"/>
        <v>0</v>
      </c>
      <c r="W32" s="5">
        <f t="shared" si="46"/>
        <v>0</v>
      </c>
      <c r="X32" s="5">
        <f t="shared" si="28"/>
        <v>11.179499999999999</v>
      </c>
      <c r="Z32" s="1">
        <f t="shared" si="87"/>
        <v>5</v>
      </c>
      <c r="AA32" s="1">
        <f t="shared" si="48"/>
        <v>10</v>
      </c>
      <c r="AB32" s="1">
        <f t="shared" si="49"/>
        <v>1</v>
      </c>
      <c r="AC32" s="1">
        <f t="shared" si="50"/>
        <v>11.157999999999999</v>
      </c>
      <c r="AD32" s="4">
        <f t="shared" si="51"/>
        <v>5</v>
      </c>
      <c r="AE32" s="4">
        <f t="shared" si="52"/>
        <v>10</v>
      </c>
      <c r="AF32" s="4">
        <f t="shared" si="53"/>
        <v>1</v>
      </c>
      <c r="AG32" s="4">
        <f t="shared" si="54"/>
        <v>10.956</v>
      </c>
      <c r="AH32" s="4">
        <f t="shared" si="55"/>
        <v>5</v>
      </c>
      <c r="AI32" s="4">
        <f t="shared" si="56"/>
        <v>10</v>
      </c>
      <c r="AJ32" s="4">
        <f t="shared" si="57"/>
        <v>1</v>
      </c>
      <c r="AK32" s="4">
        <f t="shared" si="58"/>
        <v>11.206</v>
      </c>
      <c r="AL32" s="4">
        <f t="shared" si="59"/>
        <v>5</v>
      </c>
      <c r="AM32" s="4">
        <f t="shared" si="60"/>
        <v>10</v>
      </c>
      <c r="AN32" s="4">
        <f t="shared" si="61"/>
        <v>1</v>
      </c>
      <c r="AO32" s="4">
        <f t="shared" si="62"/>
        <v>11.16</v>
      </c>
      <c r="AP32" s="4">
        <f t="shared" si="63"/>
        <v>5</v>
      </c>
      <c r="AQ32" s="4">
        <f t="shared" si="64"/>
        <v>10</v>
      </c>
      <c r="AR32" s="4">
        <f t="shared" si="65"/>
        <v>1</v>
      </c>
      <c r="AS32" s="4">
        <f t="shared" si="66"/>
        <v>10.888</v>
      </c>
      <c r="AT32" s="4">
        <f t="shared" si="67"/>
        <v>5</v>
      </c>
      <c r="AU32" s="4">
        <f t="shared" si="68"/>
        <v>10</v>
      </c>
      <c r="AV32" s="4">
        <f t="shared" si="69"/>
        <v>1</v>
      </c>
      <c r="AW32" s="4">
        <f t="shared" si="70"/>
        <v>10.891999999999999</v>
      </c>
      <c r="AX32" s="4">
        <f t="shared" si="71"/>
        <v>5</v>
      </c>
      <c r="AY32" s="4">
        <f t="shared" si="72"/>
        <v>10</v>
      </c>
      <c r="AZ32" s="4">
        <f t="shared" si="73"/>
        <v>1</v>
      </c>
      <c r="BA32" s="4">
        <f t="shared" si="74"/>
        <v>11.884</v>
      </c>
      <c r="BB32" s="4">
        <f t="shared" si="75"/>
        <v>5</v>
      </c>
      <c r="BC32" s="4">
        <f t="shared" si="76"/>
        <v>10</v>
      </c>
      <c r="BD32" s="4">
        <f t="shared" si="77"/>
        <v>1</v>
      </c>
      <c r="BE32" s="4">
        <f t="shared" si="78"/>
        <v>10.9</v>
      </c>
      <c r="BF32" s="4">
        <f t="shared" si="79"/>
        <v>5</v>
      </c>
      <c r="BG32" s="4">
        <f t="shared" si="80"/>
        <v>10</v>
      </c>
      <c r="BH32" s="4">
        <f t="shared" si="81"/>
        <v>1</v>
      </c>
      <c r="BI32" s="4">
        <f t="shared" si="82"/>
        <v>10.91</v>
      </c>
      <c r="BJ32" s="4">
        <f t="shared" si="83"/>
        <v>5</v>
      </c>
      <c r="BK32" s="4">
        <f t="shared" si="84"/>
        <v>10</v>
      </c>
      <c r="BL32" s="4">
        <f t="shared" si="85"/>
        <v>1</v>
      </c>
      <c r="BM32" s="4">
        <f t="shared" si="86"/>
        <v>11.840999999999999</v>
      </c>
    </row>
    <row r="33" spans="1:65" x14ac:dyDescent="0.25">
      <c r="A33" s="2" t="s">
        <v>10</v>
      </c>
      <c r="B33" s="2">
        <v>148</v>
      </c>
      <c r="C33" s="2">
        <v>204</v>
      </c>
      <c r="D33" s="2">
        <v>13</v>
      </c>
      <c r="E33" s="2">
        <v>26</v>
      </c>
      <c r="F33" s="2">
        <v>1</v>
      </c>
      <c r="H33" s="2">
        <v>14</v>
      </c>
      <c r="I33" s="2">
        <v>26</v>
      </c>
      <c r="J33" s="2">
        <v>0</v>
      </c>
      <c r="K33" s="2">
        <v>300.738</v>
      </c>
      <c r="M33" s="7">
        <f t="shared" si="39"/>
        <v>0</v>
      </c>
      <c r="N33" s="7">
        <f t="shared" si="40"/>
        <v>0</v>
      </c>
      <c r="O33" s="7">
        <f t="shared" si="41"/>
        <v>0</v>
      </c>
      <c r="P33" s="5">
        <f t="shared" si="42"/>
        <v>14</v>
      </c>
      <c r="Q33" s="5">
        <f t="shared" si="25"/>
        <v>14</v>
      </c>
      <c r="R33" s="5">
        <f t="shared" si="26"/>
        <v>26</v>
      </c>
      <c r="S33" s="5">
        <f t="shared" si="27"/>
        <v>26</v>
      </c>
      <c r="T33" s="5">
        <f t="shared" si="43"/>
        <v>7.6923076923076925</v>
      </c>
      <c r="U33" s="5">
        <f t="shared" si="44"/>
        <v>7.6923076923076925</v>
      </c>
      <c r="V33" s="5">
        <f t="shared" si="45"/>
        <v>0</v>
      </c>
      <c r="W33" s="5">
        <f t="shared" si="46"/>
        <v>0</v>
      </c>
      <c r="X33" s="5">
        <f t="shared" si="28"/>
        <v>300.99119999999994</v>
      </c>
      <c r="Z33" s="1">
        <f t="shared" si="87"/>
        <v>14</v>
      </c>
      <c r="AA33" s="1">
        <f t="shared" si="48"/>
        <v>26</v>
      </c>
      <c r="AB33" s="1">
        <f t="shared" si="49"/>
        <v>0</v>
      </c>
      <c r="AC33" s="1">
        <f t="shared" si="50"/>
        <v>300.738</v>
      </c>
      <c r="AD33" s="4">
        <f t="shared" si="51"/>
        <v>14</v>
      </c>
      <c r="AE33" s="4">
        <f t="shared" si="52"/>
        <v>26</v>
      </c>
      <c r="AF33" s="4">
        <f t="shared" si="53"/>
        <v>0</v>
      </c>
      <c r="AG33" s="4">
        <f t="shared" si="54"/>
        <v>300.96100000000001</v>
      </c>
      <c r="AH33" s="4">
        <f t="shared" si="55"/>
        <v>14</v>
      </c>
      <c r="AI33" s="4">
        <f t="shared" si="56"/>
        <v>26</v>
      </c>
      <c r="AJ33" s="4">
        <f t="shared" si="57"/>
        <v>0</v>
      </c>
      <c r="AK33" s="4">
        <f t="shared" si="58"/>
        <v>301.05799999999999</v>
      </c>
      <c r="AL33" s="4">
        <f t="shared" si="59"/>
        <v>14</v>
      </c>
      <c r="AM33" s="4">
        <f t="shared" si="60"/>
        <v>26</v>
      </c>
      <c r="AN33" s="4">
        <f t="shared" si="61"/>
        <v>0</v>
      </c>
      <c r="AO33" s="4">
        <f t="shared" si="62"/>
        <v>300.846</v>
      </c>
      <c r="AP33" s="4">
        <f t="shared" si="63"/>
        <v>14</v>
      </c>
      <c r="AQ33" s="4">
        <f t="shared" si="64"/>
        <v>26</v>
      </c>
      <c r="AR33" s="4">
        <f t="shared" si="65"/>
        <v>0</v>
      </c>
      <c r="AS33" s="4">
        <f t="shared" si="66"/>
        <v>300.91500000000002</v>
      </c>
      <c r="AT33" s="4">
        <f t="shared" si="67"/>
        <v>14</v>
      </c>
      <c r="AU33" s="4">
        <f t="shared" si="68"/>
        <v>26</v>
      </c>
      <c r="AV33" s="4">
        <f t="shared" si="69"/>
        <v>0</v>
      </c>
      <c r="AW33" s="4">
        <f t="shared" si="70"/>
        <v>300.928</v>
      </c>
      <c r="AX33" s="4">
        <f t="shared" si="71"/>
        <v>14</v>
      </c>
      <c r="AY33" s="4">
        <f t="shared" si="72"/>
        <v>26</v>
      </c>
      <c r="AZ33" s="4">
        <f t="shared" si="73"/>
        <v>0</v>
      </c>
      <c r="BA33" s="4">
        <f t="shared" si="74"/>
        <v>301.41199999999998</v>
      </c>
      <c r="BB33" s="4">
        <f t="shared" si="75"/>
        <v>14</v>
      </c>
      <c r="BC33" s="4">
        <f t="shared" si="76"/>
        <v>26</v>
      </c>
      <c r="BD33" s="4">
        <f t="shared" si="77"/>
        <v>0</v>
      </c>
      <c r="BE33" s="4">
        <f t="shared" si="78"/>
        <v>300.76299999999998</v>
      </c>
      <c r="BF33" s="4">
        <f t="shared" si="79"/>
        <v>14</v>
      </c>
      <c r="BG33" s="4">
        <f t="shared" si="80"/>
        <v>26</v>
      </c>
      <c r="BH33" s="4">
        <f t="shared" si="81"/>
        <v>0</v>
      </c>
      <c r="BI33" s="4">
        <f t="shared" si="82"/>
        <v>301.363</v>
      </c>
      <c r="BJ33" s="4">
        <f t="shared" si="83"/>
        <v>14</v>
      </c>
      <c r="BK33" s="4">
        <f t="shared" si="84"/>
        <v>26</v>
      </c>
      <c r="BL33" s="4">
        <f t="shared" si="85"/>
        <v>0</v>
      </c>
      <c r="BM33" s="4">
        <f t="shared" si="86"/>
        <v>300.928</v>
      </c>
    </row>
    <row r="34" spans="1:65" x14ac:dyDescent="0.25">
      <c r="A34" s="2" t="s">
        <v>10</v>
      </c>
      <c r="B34" s="2">
        <v>148</v>
      </c>
      <c r="C34" s="2">
        <v>228</v>
      </c>
      <c r="D34" s="2">
        <v>12</v>
      </c>
      <c r="E34" s="2">
        <v>23</v>
      </c>
      <c r="F34" s="2">
        <v>1</v>
      </c>
      <c r="H34" s="2">
        <v>12</v>
      </c>
      <c r="I34" s="2">
        <v>23</v>
      </c>
      <c r="J34" s="2">
        <v>1</v>
      </c>
      <c r="K34" s="2">
        <v>144.60400000000001</v>
      </c>
      <c r="M34" s="7">
        <f t="shared" si="39"/>
        <v>1</v>
      </c>
      <c r="N34" s="7">
        <f t="shared" si="40"/>
        <v>1</v>
      </c>
      <c r="O34" s="7">
        <f t="shared" si="41"/>
        <v>1</v>
      </c>
      <c r="P34" s="5">
        <f t="shared" si="42"/>
        <v>12</v>
      </c>
      <c r="Q34" s="5">
        <f t="shared" ref="Q34:Q60" si="88">AVERAGE(H34, H93, H152, H211, H270, H329, H388, H447, H506, H565)</f>
        <v>12</v>
      </c>
      <c r="R34" s="5">
        <f t="shared" ref="R34:R60" si="89">MIN(I34, I93, I152, I211, I270, I329, I388, I447, I506, I565)</f>
        <v>23</v>
      </c>
      <c r="S34" s="5">
        <f t="shared" ref="S34:S60" si="90">AVERAGE(I34, I93, I152, I211, I270, I329, I388, I447, I506, I565)</f>
        <v>23</v>
      </c>
      <c r="T34" s="5">
        <f t="shared" si="43"/>
        <v>0</v>
      </c>
      <c r="U34" s="5">
        <f t="shared" si="44"/>
        <v>0</v>
      </c>
      <c r="V34" s="5">
        <f t="shared" si="45"/>
        <v>0</v>
      </c>
      <c r="W34" s="5">
        <f t="shared" si="46"/>
        <v>0</v>
      </c>
      <c r="X34" s="5">
        <f t="shared" ref="X34:X60" si="91">AVERAGE(K34, K93, K152, K211, K270, K329, K388, K447, K506, K565)</f>
        <v>148.49430000000001</v>
      </c>
      <c r="Z34" s="1">
        <f t="shared" si="87"/>
        <v>12</v>
      </c>
      <c r="AA34" s="1">
        <f t="shared" si="48"/>
        <v>23</v>
      </c>
      <c r="AB34" s="1">
        <f t="shared" si="49"/>
        <v>1</v>
      </c>
      <c r="AC34" s="1">
        <f t="shared" si="50"/>
        <v>144.60400000000001</v>
      </c>
      <c r="AD34" s="4">
        <f t="shared" si="51"/>
        <v>12</v>
      </c>
      <c r="AE34" s="4">
        <f t="shared" si="52"/>
        <v>23</v>
      </c>
      <c r="AF34" s="4">
        <f t="shared" si="53"/>
        <v>1</v>
      </c>
      <c r="AG34" s="4">
        <f t="shared" si="54"/>
        <v>144.875</v>
      </c>
      <c r="AH34" s="4">
        <f t="shared" si="55"/>
        <v>12</v>
      </c>
      <c r="AI34" s="4">
        <f t="shared" si="56"/>
        <v>23</v>
      </c>
      <c r="AJ34" s="4">
        <f t="shared" si="57"/>
        <v>1</v>
      </c>
      <c r="AK34" s="4">
        <f t="shared" si="58"/>
        <v>149.11799999999999</v>
      </c>
      <c r="AL34" s="4">
        <f t="shared" si="59"/>
        <v>12</v>
      </c>
      <c r="AM34" s="4">
        <f t="shared" si="60"/>
        <v>23</v>
      </c>
      <c r="AN34" s="4">
        <f t="shared" si="61"/>
        <v>1</v>
      </c>
      <c r="AO34" s="4">
        <f t="shared" si="62"/>
        <v>149.65199999999999</v>
      </c>
      <c r="AP34" s="4">
        <f t="shared" si="63"/>
        <v>12</v>
      </c>
      <c r="AQ34" s="4">
        <f t="shared" si="64"/>
        <v>23</v>
      </c>
      <c r="AR34" s="4">
        <f t="shared" si="65"/>
        <v>1</v>
      </c>
      <c r="AS34" s="4">
        <f t="shared" si="66"/>
        <v>149.41200000000001</v>
      </c>
      <c r="AT34" s="4">
        <f t="shared" si="67"/>
        <v>12</v>
      </c>
      <c r="AU34" s="4">
        <f t="shared" si="68"/>
        <v>23</v>
      </c>
      <c r="AV34" s="4">
        <f t="shared" si="69"/>
        <v>1</v>
      </c>
      <c r="AW34" s="4">
        <f t="shared" si="70"/>
        <v>144.83500000000001</v>
      </c>
      <c r="AX34" s="4">
        <f t="shared" si="71"/>
        <v>12</v>
      </c>
      <c r="AY34" s="4">
        <f t="shared" si="72"/>
        <v>23</v>
      </c>
      <c r="AZ34" s="4">
        <f t="shared" si="73"/>
        <v>1</v>
      </c>
      <c r="BA34" s="4">
        <f t="shared" si="74"/>
        <v>156.898</v>
      </c>
      <c r="BB34" s="4">
        <f t="shared" si="75"/>
        <v>12</v>
      </c>
      <c r="BC34" s="4">
        <f t="shared" si="76"/>
        <v>23</v>
      </c>
      <c r="BD34" s="4">
        <f t="shared" si="77"/>
        <v>1</v>
      </c>
      <c r="BE34" s="4">
        <f t="shared" si="78"/>
        <v>145.31399999999999</v>
      </c>
      <c r="BF34" s="4">
        <f t="shared" si="79"/>
        <v>12</v>
      </c>
      <c r="BG34" s="4">
        <f t="shared" si="80"/>
        <v>23</v>
      </c>
      <c r="BH34" s="4">
        <f t="shared" si="81"/>
        <v>1</v>
      </c>
      <c r="BI34" s="4">
        <f t="shared" si="82"/>
        <v>155.68</v>
      </c>
      <c r="BJ34" s="4">
        <f t="shared" si="83"/>
        <v>12</v>
      </c>
      <c r="BK34" s="4">
        <f t="shared" si="84"/>
        <v>23</v>
      </c>
      <c r="BL34" s="4">
        <f t="shared" si="85"/>
        <v>1</v>
      </c>
      <c r="BM34" s="4">
        <f t="shared" si="86"/>
        <v>144.55500000000001</v>
      </c>
    </row>
    <row r="35" spans="1:65" x14ac:dyDescent="0.25">
      <c r="A35" s="2" t="s">
        <v>10</v>
      </c>
      <c r="B35" s="2">
        <v>148</v>
      </c>
      <c r="C35" s="2">
        <v>255</v>
      </c>
      <c r="D35" s="2">
        <v>11</v>
      </c>
      <c r="E35" s="2">
        <v>21</v>
      </c>
      <c r="F35" s="2">
        <v>1</v>
      </c>
      <c r="H35" s="2">
        <v>11</v>
      </c>
      <c r="I35" s="2">
        <v>21</v>
      </c>
      <c r="J35" s="2">
        <v>1</v>
      </c>
      <c r="K35" s="2">
        <v>48.731000000000002</v>
      </c>
      <c r="M35" s="7">
        <f t="shared" si="39"/>
        <v>1</v>
      </c>
      <c r="N35" s="7">
        <f t="shared" si="40"/>
        <v>1</v>
      </c>
      <c r="O35" s="7">
        <f t="shared" si="41"/>
        <v>1</v>
      </c>
      <c r="P35" s="5">
        <f t="shared" si="42"/>
        <v>11</v>
      </c>
      <c r="Q35" s="5">
        <f t="shared" si="88"/>
        <v>11</v>
      </c>
      <c r="R35" s="5">
        <f t="shared" si="89"/>
        <v>21</v>
      </c>
      <c r="S35" s="5">
        <f t="shared" si="90"/>
        <v>21</v>
      </c>
      <c r="T35" s="5">
        <f t="shared" si="43"/>
        <v>0</v>
      </c>
      <c r="U35" s="5">
        <f t="shared" si="44"/>
        <v>0</v>
      </c>
      <c r="V35" s="5">
        <f t="shared" si="45"/>
        <v>0</v>
      </c>
      <c r="W35" s="5">
        <f t="shared" si="46"/>
        <v>0</v>
      </c>
      <c r="X35" s="5">
        <f t="shared" si="91"/>
        <v>50.081900000000005</v>
      </c>
      <c r="Z35" s="1">
        <f t="shared" si="87"/>
        <v>11</v>
      </c>
      <c r="AA35" s="1">
        <f t="shared" si="48"/>
        <v>21</v>
      </c>
      <c r="AB35" s="1">
        <f t="shared" si="49"/>
        <v>1</v>
      </c>
      <c r="AC35" s="1">
        <f t="shared" si="50"/>
        <v>48.731000000000002</v>
      </c>
      <c r="AD35" s="4">
        <f t="shared" si="51"/>
        <v>11</v>
      </c>
      <c r="AE35" s="4">
        <f t="shared" si="52"/>
        <v>21</v>
      </c>
      <c r="AF35" s="4">
        <f t="shared" si="53"/>
        <v>1</v>
      </c>
      <c r="AG35" s="4">
        <f t="shared" si="54"/>
        <v>48.319000000000003</v>
      </c>
      <c r="AH35" s="4">
        <f t="shared" si="55"/>
        <v>11</v>
      </c>
      <c r="AI35" s="4">
        <f t="shared" si="56"/>
        <v>21</v>
      </c>
      <c r="AJ35" s="4">
        <f t="shared" si="57"/>
        <v>1</v>
      </c>
      <c r="AK35" s="4">
        <f t="shared" si="58"/>
        <v>49.68</v>
      </c>
      <c r="AL35" s="4">
        <f t="shared" si="59"/>
        <v>11</v>
      </c>
      <c r="AM35" s="4">
        <f t="shared" si="60"/>
        <v>21</v>
      </c>
      <c r="AN35" s="4">
        <f t="shared" si="61"/>
        <v>1</v>
      </c>
      <c r="AO35" s="4">
        <f t="shared" si="62"/>
        <v>49.947000000000003</v>
      </c>
      <c r="AP35" s="4">
        <f t="shared" si="63"/>
        <v>11</v>
      </c>
      <c r="AQ35" s="4">
        <f t="shared" si="64"/>
        <v>21</v>
      </c>
      <c r="AR35" s="4">
        <f t="shared" si="65"/>
        <v>1</v>
      </c>
      <c r="AS35" s="4">
        <f t="shared" si="66"/>
        <v>52.347999999999999</v>
      </c>
      <c r="AT35" s="4">
        <f t="shared" si="67"/>
        <v>11</v>
      </c>
      <c r="AU35" s="4">
        <f t="shared" si="68"/>
        <v>21</v>
      </c>
      <c r="AV35" s="4">
        <f t="shared" si="69"/>
        <v>1</v>
      </c>
      <c r="AW35" s="4">
        <f t="shared" si="70"/>
        <v>48.29</v>
      </c>
      <c r="AX35" s="4">
        <f t="shared" si="71"/>
        <v>11</v>
      </c>
      <c r="AY35" s="4">
        <f t="shared" si="72"/>
        <v>21</v>
      </c>
      <c r="AZ35" s="4">
        <f t="shared" si="73"/>
        <v>1</v>
      </c>
      <c r="BA35" s="4">
        <f t="shared" si="74"/>
        <v>52.713000000000001</v>
      </c>
      <c r="BB35" s="4">
        <f t="shared" si="75"/>
        <v>11</v>
      </c>
      <c r="BC35" s="4">
        <f t="shared" si="76"/>
        <v>21</v>
      </c>
      <c r="BD35" s="4">
        <f t="shared" si="77"/>
        <v>1</v>
      </c>
      <c r="BE35" s="4">
        <f t="shared" si="78"/>
        <v>50.406999999999996</v>
      </c>
      <c r="BF35" s="4">
        <f t="shared" si="79"/>
        <v>11</v>
      </c>
      <c r="BG35" s="4">
        <f t="shared" si="80"/>
        <v>21</v>
      </c>
      <c r="BH35" s="4">
        <f t="shared" si="81"/>
        <v>1</v>
      </c>
      <c r="BI35" s="4">
        <f t="shared" si="82"/>
        <v>52.036999999999999</v>
      </c>
      <c r="BJ35" s="4">
        <f t="shared" si="83"/>
        <v>11</v>
      </c>
      <c r="BK35" s="4">
        <f t="shared" si="84"/>
        <v>21</v>
      </c>
      <c r="BL35" s="4">
        <f t="shared" si="85"/>
        <v>1</v>
      </c>
      <c r="BM35" s="4">
        <f t="shared" si="86"/>
        <v>48.347000000000001</v>
      </c>
    </row>
    <row r="36" spans="1:65" x14ac:dyDescent="0.25">
      <c r="A36" s="2" t="s">
        <v>10</v>
      </c>
      <c r="B36" s="2">
        <v>148</v>
      </c>
      <c r="C36" s="2">
        <v>306</v>
      </c>
      <c r="D36" s="2">
        <v>9</v>
      </c>
      <c r="E36" s="2">
        <v>17</v>
      </c>
      <c r="F36" s="2">
        <v>1</v>
      </c>
      <c r="H36" s="2">
        <v>9</v>
      </c>
      <c r="I36" s="2">
        <v>18</v>
      </c>
      <c r="J36" s="2">
        <v>0</v>
      </c>
      <c r="K36" s="2">
        <v>301.20100000000002</v>
      </c>
      <c r="M36" s="7">
        <f t="shared" si="39"/>
        <v>0</v>
      </c>
      <c r="N36" s="7">
        <f t="shared" si="40"/>
        <v>0</v>
      </c>
      <c r="O36" s="7">
        <f t="shared" si="41"/>
        <v>0</v>
      </c>
      <c r="P36" s="5">
        <f t="shared" si="42"/>
        <v>9</v>
      </c>
      <c r="Q36" s="5">
        <f t="shared" si="88"/>
        <v>9</v>
      </c>
      <c r="R36" s="5">
        <f t="shared" si="89"/>
        <v>18</v>
      </c>
      <c r="S36" s="5">
        <f t="shared" si="90"/>
        <v>18</v>
      </c>
      <c r="T36" s="5">
        <f t="shared" si="43"/>
        <v>0</v>
      </c>
      <c r="U36" s="5">
        <f t="shared" si="44"/>
        <v>0</v>
      </c>
      <c r="V36" s="5">
        <f t="shared" si="45"/>
        <v>5.882352941176471</v>
      </c>
      <c r="W36" s="5">
        <f t="shared" si="46"/>
        <v>5.882352941176471</v>
      </c>
      <c r="X36" s="5">
        <f t="shared" si="91"/>
        <v>301.00569999999999</v>
      </c>
      <c r="Z36" s="1">
        <f t="shared" si="87"/>
        <v>9</v>
      </c>
      <c r="AA36" s="1">
        <f t="shared" si="48"/>
        <v>18</v>
      </c>
      <c r="AB36" s="1">
        <f t="shared" si="49"/>
        <v>0</v>
      </c>
      <c r="AC36" s="1">
        <f t="shared" si="50"/>
        <v>301.20100000000002</v>
      </c>
      <c r="AD36" s="4">
        <f t="shared" si="51"/>
        <v>9</v>
      </c>
      <c r="AE36" s="4">
        <f t="shared" si="52"/>
        <v>18</v>
      </c>
      <c r="AF36" s="4">
        <f t="shared" si="53"/>
        <v>0</v>
      </c>
      <c r="AG36" s="4">
        <f t="shared" si="54"/>
        <v>300.93099999999998</v>
      </c>
      <c r="AH36" s="4">
        <f t="shared" si="55"/>
        <v>9</v>
      </c>
      <c r="AI36" s="4">
        <f t="shared" si="56"/>
        <v>18</v>
      </c>
      <c r="AJ36" s="4">
        <f t="shared" si="57"/>
        <v>0</v>
      </c>
      <c r="AK36" s="4">
        <f t="shared" si="58"/>
        <v>301.02199999999999</v>
      </c>
      <c r="AL36" s="4">
        <f t="shared" si="59"/>
        <v>9</v>
      </c>
      <c r="AM36" s="4">
        <f t="shared" si="60"/>
        <v>18</v>
      </c>
      <c r="AN36" s="4">
        <f t="shared" si="61"/>
        <v>0</v>
      </c>
      <c r="AO36" s="4">
        <f t="shared" si="62"/>
        <v>300.91500000000002</v>
      </c>
      <c r="AP36" s="4">
        <f t="shared" si="63"/>
        <v>9</v>
      </c>
      <c r="AQ36" s="4">
        <f t="shared" si="64"/>
        <v>18</v>
      </c>
      <c r="AR36" s="4">
        <f t="shared" si="65"/>
        <v>0</v>
      </c>
      <c r="AS36" s="4">
        <f t="shared" si="66"/>
        <v>300.72699999999998</v>
      </c>
      <c r="AT36" s="4">
        <f t="shared" si="67"/>
        <v>9</v>
      </c>
      <c r="AU36" s="4">
        <f t="shared" si="68"/>
        <v>18</v>
      </c>
      <c r="AV36" s="4">
        <f t="shared" si="69"/>
        <v>0</v>
      </c>
      <c r="AW36" s="4">
        <f t="shared" si="70"/>
        <v>300.69400000000002</v>
      </c>
      <c r="AX36" s="4">
        <f t="shared" si="71"/>
        <v>9</v>
      </c>
      <c r="AY36" s="4">
        <f t="shared" si="72"/>
        <v>18</v>
      </c>
      <c r="AZ36" s="4">
        <f t="shared" si="73"/>
        <v>0</v>
      </c>
      <c r="BA36" s="4">
        <f t="shared" si="74"/>
        <v>301.334</v>
      </c>
      <c r="BB36" s="4">
        <f t="shared" si="75"/>
        <v>9</v>
      </c>
      <c r="BC36" s="4">
        <f t="shared" si="76"/>
        <v>18</v>
      </c>
      <c r="BD36" s="4">
        <f t="shared" si="77"/>
        <v>0</v>
      </c>
      <c r="BE36" s="4">
        <f t="shared" si="78"/>
        <v>301.09500000000003</v>
      </c>
      <c r="BF36" s="4">
        <f t="shared" si="79"/>
        <v>9</v>
      </c>
      <c r="BG36" s="4">
        <f t="shared" si="80"/>
        <v>18</v>
      </c>
      <c r="BH36" s="4">
        <f t="shared" si="81"/>
        <v>0</v>
      </c>
      <c r="BI36" s="4">
        <f t="shared" si="82"/>
        <v>301.05599999999998</v>
      </c>
      <c r="BJ36" s="4">
        <f t="shared" si="83"/>
        <v>9</v>
      </c>
      <c r="BK36" s="4">
        <f t="shared" si="84"/>
        <v>18</v>
      </c>
      <c r="BL36" s="4">
        <f t="shared" si="85"/>
        <v>0</v>
      </c>
      <c r="BM36" s="4">
        <f t="shared" si="86"/>
        <v>301.08199999999999</v>
      </c>
    </row>
    <row r="37" spans="1:65" x14ac:dyDescent="0.25">
      <c r="A37" s="2" t="s">
        <v>10</v>
      </c>
      <c r="B37" s="2">
        <v>148</v>
      </c>
      <c r="C37" s="2">
        <v>357</v>
      </c>
      <c r="D37" s="2">
        <v>8</v>
      </c>
      <c r="E37" s="2">
        <v>15</v>
      </c>
      <c r="F37" s="2">
        <v>1</v>
      </c>
      <c r="H37" s="2">
        <v>8</v>
      </c>
      <c r="I37" s="2">
        <v>15</v>
      </c>
      <c r="J37" s="2">
        <v>1</v>
      </c>
      <c r="K37" s="2">
        <v>4.9039999999999999</v>
      </c>
      <c r="M37" s="7">
        <f t="shared" si="39"/>
        <v>1</v>
      </c>
      <c r="N37" s="7">
        <f t="shared" si="40"/>
        <v>1</v>
      </c>
      <c r="O37" s="7">
        <f t="shared" si="41"/>
        <v>1</v>
      </c>
      <c r="P37" s="5">
        <f t="shared" si="42"/>
        <v>8</v>
      </c>
      <c r="Q37" s="5">
        <f t="shared" si="88"/>
        <v>8</v>
      </c>
      <c r="R37" s="5">
        <f t="shared" si="89"/>
        <v>15</v>
      </c>
      <c r="S37" s="5">
        <f t="shared" si="90"/>
        <v>15</v>
      </c>
      <c r="T37" s="5">
        <f t="shared" si="43"/>
        <v>0</v>
      </c>
      <c r="U37" s="5">
        <f t="shared" si="44"/>
        <v>0</v>
      </c>
      <c r="V37" s="5">
        <f t="shared" si="45"/>
        <v>0</v>
      </c>
      <c r="W37" s="5">
        <f t="shared" si="46"/>
        <v>0</v>
      </c>
      <c r="X37" s="5">
        <f t="shared" si="91"/>
        <v>5.1866000000000003</v>
      </c>
      <c r="Z37" s="1">
        <f t="shared" si="87"/>
        <v>8</v>
      </c>
      <c r="AA37" s="1">
        <f t="shared" si="48"/>
        <v>15</v>
      </c>
      <c r="AB37" s="1">
        <f t="shared" si="49"/>
        <v>1</v>
      </c>
      <c r="AC37" s="1">
        <f t="shared" si="50"/>
        <v>4.9039999999999999</v>
      </c>
      <c r="AD37" s="4">
        <f t="shared" si="51"/>
        <v>8</v>
      </c>
      <c r="AE37" s="4">
        <f t="shared" si="52"/>
        <v>15</v>
      </c>
      <c r="AF37" s="4">
        <f t="shared" si="53"/>
        <v>1</v>
      </c>
      <c r="AG37" s="4">
        <f t="shared" si="54"/>
        <v>4.9029999999999996</v>
      </c>
      <c r="AH37" s="4">
        <f t="shared" si="55"/>
        <v>8</v>
      </c>
      <c r="AI37" s="4">
        <f t="shared" si="56"/>
        <v>15</v>
      </c>
      <c r="AJ37" s="4">
        <f t="shared" si="57"/>
        <v>1</v>
      </c>
      <c r="AK37" s="4">
        <f t="shared" si="58"/>
        <v>5.0209999999999999</v>
      </c>
      <c r="AL37" s="4">
        <f t="shared" si="59"/>
        <v>8</v>
      </c>
      <c r="AM37" s="4">
        <f t="shared" si="60"/>
        <v>15</v>
      </c>
      <c r="AN37" s="4">
        <f t="shared" si="61"/>
        <v>1</v>
      </c>
      <c r="AO37" s="4">
        <f t="shared" si="62"/>
        <v>5.069</v>
      </c>
      <c r="AP37" s="4">
        <f t="shared" si="63"/>
        <v>8</v>
      </c>
      <c r="AQ37" s="4">
        <f t="shared" si="64"/>
        <v>15</v>
      </c>
      <c r="AR37" s="4">
        <f t="shared" si="65"/>
        <v>1</v>
      </c>
      <c r="AS37" s="4">
        <f t="shared" si="66"/>
        <v>5.3449999999999998</v>
      </c>
      <c r="AT37" s="4">
        <f t="shared" si="67"/>
        <v>8</v>
      </c>
      <c r="AU37" s="4">
        <f t="shared" si="68"/>
        <v>15</v>
      </c>
      <c r="AV37" s="4">
        <f t="shared" si="69"/>
        <v>1</v>
      </c>
      <c r="AW37" s="4">
        <f t="shared" si="70"/>
        <v>4.9489999999999998</v>
      </c>
      <c r="AX37" s="4">
        <f t="shared" si="71"/>
        <v>8</v>
      </c>
      <c r="AY37" s="4">
        <f t="shared" si="72"/>
        <v>15</v>
      </c>
      <c r="AZ37" s="4">
        <f t="shared" si="73"/>
        <v>1</v>
      </c>
      <c r="BA37" s="4">
        <f t="shared" si="74"/>
        <v>5.3419999999999996</v>
      </c>
      <c r="BB37" s="4">
        <f t="shared" si="75"/>
        <v>8</v>
      </c>
      <c r="BC37" s="4">
        <f t="shared" si="76"/>
        <v>15</v>
      </c>
      <c r="BD37" s="4">
        <f t="shared" si="77"/>
        <v>1</v>
      </c>
      <c r="BE37" s="4">
        <f t="shared" si="78"/>
        <v>5.6829999999999998</v>
      </c>
      <c r="BF37" s="4">
        <f t="shared" si="79"/>
        <v>8</v>
      </c>
      <c r="BG37" s="4">
        <f t="shared" si="80"/>
        <v>15</v>
      </c>
      <c r="BH37" s="4">
        <f t="shared" si="81"/>
        <v>1</v>
      </c>
      <c r="BI37" s="4">
        <f t="shared" si="82"/>
        <v>5.3010000000000002</v>
      </c>
      <c r="BJ37" s="4">
        <f t="shared" si="83"/>
        <v>8</v>
      </c>
      <c r="BK37" s="4">
        <f t="shared" si="84"/>
        <v>15</v>
      </c>
      <c r="BL37" s="4">
        <f t="shared" si="85"/>
        <v>1</v>
      </c>
      <c r="BM37" s="4">
        <f t="shared" si="86"/>
        <v>5.3490000000000002</v>
      </c>
    </row>
    <row r="38" spans="1:65" x14ac:dyDescent="0.25">
      <c r="A38" s="2" t="s">
        <v>10</v>
      </c>
      <c r="B38" s="2">
        <v>148</v>
      </c>
      <c r="C38" s="2">
        <v>378</v>
      </c>
      <c r="D38" s="2">
        <v>7</v>
      </c>
      <c r="E38" s="2">
        <v>14</v>
      </c>
      <c r="F38" s="2">
        <v>1</v>
      </c>
      <c r="H38" s="2">
        <v>8</v>
      </c>
      <c r="I38" s="2">
        <v>14</v>
      </c>
      <c r="J38" s="2">
        <v>0</v>
      </c>
      <c r="K38" s="2">
        <v>300.85300000000001</v>
      </c>
      <c r="M38" s="7">
        <f t="shared" si="39"/>
        <v>0</v>
      </c>
      <c r="N38" s="7">
        <f t="shared" si="40"/>
        <v>0</v>
      </c>
      <c r="O38" s="7">
        <f t="shared" si="41"/>
        <v>0</v>
      </c>
      <c r="P38" s="5">
        <f t="shared" si="42"/>
        <v>8</v>
      </c>
      <c r="Q38" s="5">
        <f t="shared" si="88"/>
        <v>8</v>
      </c>
      <c r="R38" s="5">
        <f t="shared" si="89"/>
        <v>14</v>
      </c>
      <c r="S38" s="5">
        <f t="shared" si="90"/>
        <v>14</v>
      </c>
      <c r="T38" s="5">
        <f t="shared" si="43"/>
        <v>14.285714285714286</v>
      </c>
      <c r="U38" s="5">
        <f t="shared" si="44"/>
        <v>14.285714285714286</v>
      </c>
      <c r="V38" s="5">
        <f t="shared" si="45"/>
        <v>0</v>
      </c>
      <c r="W38" s="5">
        <f t="shared" si="46"/>
        <v>0</v>
      </c>
      <c r="X38" s="5">
        <f t="shared" si="91"/>
        <v>301.16380000000004</v>
      </c>
      <c r="Z38" s="1">
        <f t="shared" si="87"/>
        <v>8</v>
      </c>
      <c r="AA38" s="1">
        <f t="shared" si="48"/>
        <v>14</v>
      </c>
      <c r="AB38" s="1">
        <f t="shared" si="49"/>
        <v>0</v>
      </c>
      <c r="AC38" s="1">
        <f t="shared" si="50"/>
        <v>300.85300000000001</v>
      </c>
      <c r="AD38" s="4">
        <f t="shared" si="51"/>
        <v>8</v>
      </c>
      <c r="AE38" s="4">
        <f t="shared" si="52"/>
        <v>14</v>
      </c>
      <c r="AF38" s="4">
        <f t="shared" si="53"/>
        <v>0</v>
      </c>
      <c r="AG38" s="4">
        <f t="shared" si="54"/>
        <v>300.92399999999998</v>
      </c>
      <c r="AH38" s="4">
        <f t="shared" si="55"/>
        <v>8</v>
      </c>
      <c r="AI38" s="4">
        <f t="shared" si="56"/>
        <v>14</v>
      </c>
      <c r="AJ38" s="4">
        <f t="shared" si="57"/>
        <v>0</v>
      </c>
      <c r="AK38" s="4">
        <f t="shared" si="58"/>
        <v>301.33300000000003</v>
      </c>
      <c r="AL38" s="4">
        <f t="shared" si="59"/>
        <v>8</v>
      </c>
      <c r="AM38" s="4">
        <f t="shared" si="60"/>
        <v>14</v>
      </c>
      <c r="AN38" s="4">
        <f t="shared" si="61"/>
        <v>0</v>
      </c>
      <c r="AO38" s="4">
        <f t="shared" si="62"/>
        <v>301.38799999999998</v>
      </c>
      <c r="AP38" s="4">
        <f t="shared" si="63"/>
        <v>8</v>
      </c>
      <c r="AQ38" s="4">
        <f t="shared" si="64"/>
        <v>14</v>
      </c>
      <c r="AR38" s="4">
        <f t="shared" si="65"/>
        <v>0</v>
      </c>
      <c r="AS38" s="4">
        <f t="shared" si="66"/>
        <v>301.39400000000001</v>
      </c>
      <c r="AT38" s="4">
        <f t="shared" si="67"/>
        <v>8</v>
      </c>
      <c r="AU38" s="4">
        <f t="shared" si="68"/>
        <v>14</v>
      </c>
      <c r="AV38" s="4">
        <f t="shared" si="69"/>
        <v>0</v>
      </c>
      <c r="AW38" s="4">
        <f t="shared" si="70"/>
        <v>300.83999999999997</v>
      </c>
      <c r="AX38" s="4">
        <f t="shared" si="71"/>
        <v>8</v>
      </c>
      <c r="AY38" s="4">
        <f t="shared" si="72"/>
        <v>14</v>
      </c>
      <c r="AZ38" s="4">
        <f t="shared" si="73"/>
        <v>0</v>
      </c>
      <c r="BA38" s="4">
        <f t="shared" si="74"/>
        <v>301.22000000000003</v>
      </c>
      <c r="BB38" s="4">
        <f t="shared" si="75"/>
        <v>8</v>
      </c>
      <c r="BC38" s="4">
        <f t="shared" si="76"/>
        <v>14</v>
      </c>
      <c r="BD38" s="4">
        <f t="shared" si="77"/>
        <v>0</v>
      </c>
      <c r="BE38" s="4">
        <f t="shared" si="78"/>
        <v>300.90899999999999</v>
      </c>
      <c r="BF38" s="4">
        <f t="shared" si="79"/>
        <v>8</v>
      </c>
      <c r="BG38" s="4">
        <f t="shared" si="80"/>
        <v>14</v>
      </c>
      <c r="BH38" s="4">
        <f t="shared" si="81"/>
        <v>0</v>
      </c>
      <c r="BI38" s="4">
        <f t="shared" si="82"/>
        <v>301.56400000000002</v>
      </c>
      <c r="BJ38" s="4">
        <f t="shared" si="83"/>
        <v>8</v>
      </c>
      <c r="BK38" s="4">
        <f t="shared" si="84"/>
        <v>14</v>
      </c>
      <c r="BL38" s="4">
        <f t="shared" si="85"/>
        <v>0</v>
      </c>
      <c r="BM38" s="4">
        <f t="shared" si="86"/>
        <v>301.21300000000002</v>
      </c>
    </row>
    <row r="39" spans="1:65" x14ac:dyDescent="0.25">
      <c r="A39" s="2" t="s">
        <v>10</v>
      </c>
      <c r="B39" s="2">
        <v>148</v>
      </c>
      <c r="C39" s="3">
        <v>408</v>
      </c>
      <c r="D39" s="3">
        <v>7</v>
      </c>
      <c r="E39" s="3">
        <v>13</v>
      </c>
      <c r="F39" s="2">
        <v>1</v>
      </c>
      <c r="H39" s="2">
        <v>8</v>
      </c>
      <c r="I39" s="2">
        <v>13</v>
      </c>
      <c r="J39" s="2">
        <v>0</v>
      </c>
      <c r="K39" s="2">
        <v>300.82600000000002</v>
      </c>
      <c r="M39" s="7">
        <f t="shared" si="39"/>
        <v>0</v>
      </c>
      <c r="N39" s="7">
        <f t="shared" si="40"/>
        <v>0</v>
      </c>
      <c r="O39" s="7">
        <f t="shared" si="41"/>
        <v>0</v>
      </c>
      <c r="P39" s="5">
        <f t="shared" si="42"/>
        <v>8</v>
      </c>
      <c r="Q39" s="5">
        <f t="shared" si="88"/>
        <v>8</v>
      </c>
      <c r="R39" s="5">
        <f t="shared" si="89"/>
        <v>13</v>
      </c>
      <c r="S39" s="5">
        <f t="shared" si="90"/>
        <v>13</v>
      </c>
      <c r="T39" s="5">
        <f t="shared" si="43"/>
        <v>14.285714285714286</v>
      </c>
      <c r="U39" s="5">
        <f t="shared" si="44"/>
        <v>14.285714285714286</v>
      </c>
      <c r="V39" s="5">
        <f t="shared" si="45"/>
        <v>0</v>
      </c>
      <c r="W39" s="5">
        <f t="shared" si="46"/>
        <v>0</v>
      </c>
      <c r="X39" s="5">
        <f t="shared" si="91"/>
        <v>301.05889999999999</v>
      </c>
      <c r="Z39" s="1">
        <f t="shared" si="87"/>
        <v>8</v>
      </c>
      <c r="AA39" s="1">
        <f t="shared" si="48"/>
        <v>13</v>
      </c>
      <c r="AB39" s="1">
        <f t="shared" si="49"/>
        <v>0</v>
      </c>
      <c r="AC39" s="1">
        <f t="shared" si="50"/>
        <v>300.82600000000002</v>
      </c>
      <c r="AD39" s="4">
        <f t="shared" si="51"/>
        <v>8</v>
      </c>
      <c r="AE39" s="4">
        <f t="shared" si="52"/>
        <v>13</v>
      </c>
      <c r="AF39" s="4">
        <f t="shared" si="53"/>
        <v>0</v>
      </c>
      <c r="AG39" s="4">
        <f t="shared" si="54"/>
        <v>300.93700000000001</v>
      </c>
      <c r="AH39" s="4">
        <f t="shared" si="55"/>
        <v>8</v>
      </c>
      <c r="AI39" s="4">
        <f t="shared" si="56"/>
        <v>13</v>
      </c>
      <c r="AJ39" s="4">
        <f t="shared" si="57"/>
        <v>0</v>
      </c>
      <c r="AK39" s="4">
        <f t="shared" si="58"/>
        <v>300.887</v>
      </c>
      <c r="AL39" s="4">
        <f t="shared" si="59"/>
        <v>8</v>
      </c>
      <c r="AM39" s="4">
        <f t="shared" si="60"/>
        <v>13</v>
      </c>
      <c r="AN39" s="4">
        <f t="shared" si="61"/>
        <v>0</v>
      </c>
      <c r="AO39" s="4">
        <f t="shared" si="62"/>
        <v>301.16000000000003</v>
      </c>
      <c r="AP39" s="4">
        <f t="shared" si="63"/>
        <v>8</v>
      </c>
      <c r="AQ39" s="4">
        <f t="shared" si="64"/>
        <v>13</v>
      </c>
      <c r="AR39" s="4">
        <f t="shared" si="65"/>
        <v>0</v>
      </c>
      <c r="AS39" s="4">
        <f t="shared" si="66"/>
        <v>301.03800000000001</v>
      </c>
      <c r="AT39" s="4">
        <f t="shared" si="67"/>
        <v>8</v>
      </c>
      <c r="AU39" s="4">
        <f t="shared" si="68"/>
        <v>13</v>
      </c>
      <c r="AV39" s="4">
        <f t="shared" si="69"/>
        <v>0</v>
      </c>
      <c r="AW39" s="4">
        <f t="shared" si="70"/>
        <v>301.286</v>
      </c>
      <c r="AX39" s="4">
        <f t="shared" si="71"/>
        <v>8</v>
      </c>
      <c r="AY39" s="4">
        <f t="shared" si="72"/>
        <v>13</v>
      </c>
      <c r="AZ39" s="4">
        <f t="shared" si="73"/>
        <v>0</v>
      </c>
      <c r="BA39" s="4">
        <f t="shared" si="74"/>
        <v>301.36200000000002</v>
      </c>
      <c r="BB39" s="4">
        <f t="shared" si="75"/>
        <v>8</v>
      </c>
      <c r="BC39" s="4">
        <f t="shared" si="76"/>
        <v>13</v>
      </c>
      <c r="BD39" s="4">
        <f t="shared" si="77"/>
        <v>0</v>
      </c>
      <c r="BE39" s="4">
        <f t="shared" si="78"/>
        <v>301.04300000000001</v>
      </c>
      <c r="BF39" s="4">
        <f t="shared" si="79"/>
        <v>8</v>
      </c>
      <c r="BG39" s="4">
        <f t="shared" si="80"/>
        <v>13</v>
      </c>
      <c r="BH39" s="4">
        <f t="shared" si="81"/>
        <v>0</v>
      </c>
      <c r="BI39" s="4">
        <f t="shared" si="82"/>
        <v>301.13799999999998</v>
      </c>
      <c r="BJ39" s="4">
        <f t="shared" si="83"/>
        <v>8</v>
      </c>
      <c r="BK39" s="4">
        <f t="shared" si="84"/>
        <v>13</v>
      </c>
      <c r="BL39" s="4">
        <f t="shared" si="85"/>
        <v>0</v>
      </c>
      <c r="BM39" s="4">
        <f t="shared" si="86"/>
        <v>300.91199999999998</v>
      </c>
    </row>
    <row r="40" spans="1:65" x14ac:dyDescent="0.25">
      <c r="A40" s="2" t="s">
        <v>10</v>
      </c>
      <c r="B40" s="2">
        <v>148</v>
      </c>
      <c r="C40" s="3">
        <v>454</v>
      </c>
      <c r="D40" s="3">
        <v>6</v>
      </c>
      <c r="E40" s="3">
        <v>12</v>
      </c>
      <c r="F40" s="2">
        <v>1</v>
      </c>
      <c r="H40" s="2">
        <v>7</v>
      </c>
      <c r="I40" s="2">
        <v>12</v>
      </c>
      <c r="J40" s="2">
        <v>0</v>
      </c>
      <c r="K40" s="2">
        <v>300.11500000000001</v>
      </c>
      <c r="M40" s="7">
        <f t="shared" si="39"/>
        <v>0</v>
      </c>
      <c r="N40" s="7">
        <f t="shared" si="40"/>
        <v>0</v>
      </c>
      <c r="O40" s="7">
        <f t="shared" si="41"/>
        <v>0</v>
      </c>
      <c r="P40" s="5">
        <f t="shared" si="42"/>
        <v>7</v>
      </c>
      <c r="Q40" s="5">
        <f t="shared" si="88"/>
        <v>7</v>
      </c>
      <c r="R40" s="5">
        <f t="shared" si="89"/>
        <v>12</v>
      </c>
      <c r="S40" s="5">
        <f t="shared" si="90"/>
        <v>12</v>
      </c>
      <c r="T40" s="5">
        <f t="shared" si="43"/>
        <v>16.666666666666668</v>
      </c>
      <c r="U40" s="5">
        <f t="shared" si="44"/>
        <v>16.666666666666668</v>
      </c>
      <c r="V40" s="5">
        <f t="shared" si="45"/>
        <v>0</v>
      </c>
      <c r="W40" s="5">
        <f t="shared" si="46"/>
        <v>0</v>
      </c>
      <c r="X40" s="5">
        <f t="shared" si="91"/>
        <v>300.11319999999995</v>
      </c>
      <c r="Z40" s="1">
        <f t="shared" si="87"/>
        <v>7</v>
      </c>
      <c r="AA40" s="1">
        <f t="shared" si="48"/>
        <v>12</v>
      </c>
      <c r="AB40" s="1">
        <f t="shared" si="49"/>
        <v>0</v>
      </c>
      <c r="AC40" s="1">
        <f t="shared" si="50"/>
        <v>300.11500000000001</v>
      </c>
      <c r="AD40" s="4">
        <f t="shared" si="51"/>
        <v>7</v>
      </c>
      <c r="AE40" s="4">
        <f t="shared" si="52"/>
        <v>12</v>
      </c>
      <c r="AF40" s="4">
        <f t="shared" si="53"/>
        <v>0</v>
      </c>
      <c r="AG40" s="4">
        <f t="shared" si="54"/>
        <v>300.11599999999999</v>
      </c>
      <c r="AH40" s="4">
        <f t="shared" si="55"/>
        <v>7</v>
      </c>
      <c r="AI40" s="4">
        <f t="shared" si="56"/>
        <v>12</v>
      </c>
      <c r="AJ40" s="4">
        <f t="shared" si="57"/>
        <v>0</v>
      </c>
      <c r="AK40" s="4">
        <f t="shared" si="58"/>
        <v>300.12700000000001</v>
      </c>
      <c r="AL40" s="4">
        <f t="shared" si="59"/>
        <v>7</v>
      </c>
      <c r="AM40" s="4">
        <f t="shared" si="60"/>
        <v>12</v>
      </c>
      <c r="AN40" s="4">
        <f t="shared" si="61"/>
        <v>0</v>
      </c>
      <c r="AO40" s="4">
        <f t="shared" si="62"/>
        <v>300.10199999999998</v>
      </c>
      <c r="AP40" s="4">
        <f t="shared" si="63"/>
        <v>7</v>
      </c>
      <c r="AQ40" s="4">
        <f t="shared" si="64"/>
        <v>12</v>
      </c>
      <c r="AR40" s="4">
        <f t="shared" si="65"/>
        <v>0</v>
      </c>
      <c r="AS40" s="4">
        <f t="shared" si="66"/>
        <v>300.11399999999998</v>
      </c>
      <c r="AT40" s="4">
        <f t="shared" si="67"/>
        <v>7</v>
      </c>
      <c r="AU40" s="4">
        <f t="shared" si="68"/>
        <v>12</v>
      </c>
      <c r="AV40" s="4">
        <f t="shared" si="69"/>
        <v>0</v>
      </c>
      <c r="AW40" s="4">
        <f t="shared" si="70"/>
        <v>300.108</v>
      </c>
      <c r="AX40" s="4">
        <f t="shared" si="71"/>
        <v>7</v>
      </c>
      <c r="AY40" s="4">
        <f t="shared" si="72"/>
        <v>12</v>
      </c>
      <c r="AZ40" s="4">
        <f t="shared" si="73"/>
        <v>0</v>
      </c>
      <c r="BA40" s="4">
        <f t="shared" si="74"/>
        <v>300.11900000000003</v>
      </c>
      <c r="BB40" s="4">
        <f t="shared" si="75"/>
        <v>7</v>
      </c>
      <c r="BC40" s="4">
        <f t="shared" si="76"/>
        <v>12</v>
      </c>
      <c r="BD40" s="4">
        <f t="shared" si="77"/>
        <v>0</v>
      </c>
      <c r="BE40" s="4">
        <f t="shared" si="78"/>
        <v>300.11799999999999</v>
      </c>
      <c r="BF40" s="4">
        <f t="shared" si="79"/>
        <v>7</v>
      </c>
      <c r="BG40" s="4">
        <f t="shared" si="80"/>
        <v>12</v>
      </c>
      <c r="BH40" s="4">
        <f t="shared" si="81"/>
        <v>0</v>
      </c>
      <c r="BI40" s="4">
        <f t="shared" si="82"/>
        <v>300.113</v>
      </c>
      <c r="BJ40" s="4">
        <f t="shared" si="83"/>
        <v>7</v>
      </c>
      <c r="BK40" s="4">
        <f t="shared" si="84"/>
        <v>12</v>
      </c>
      <c r="BL40" s="4">
        <f t="shared" si="85"/>
        <v>0</v>
      </c>
      <c r="BM40" s="4">
        <f t="shared" si="86"/>
        <v>300.10000000000002</v>
      </c>
    </row>
    <row r="41" spans="1:65" x14ac:dyDescent="0.25">
      <c r="A41" s="2" t="s">
        <v>10</v>
      </c>
      <c r="B41" s="2">
        <v>148</v>
      </c>
      <c r="C41" s="3">
        <v>459</v>
      </c>
      <c r="D41" s="3">
        <v>6</v>
      </c>
      <c r="E41" s="3">
        <v>12</v>
      </c>
      <c r="F41" s="2">
        <v>1</v>
      </c>
      <c r="H41" s="2">
        <v>7</v>
      </c>
      <c r="I41" s="2">
        <v>12</v>
      </c>
      <c r="J41" s="2">
        <v>0</v>
      </c>
      <c r="K41" s="2">
        <v>300.85199999999998</v>
      </c>
      <c r="M41" s="7">
        <f t="shared" si="39"/>
        <v>0</v>
      </c>
      <c r="N41" s="7">
        <f t="shared" si="40"/>
        <v>0</v>
      </c>
      <c r="O41" s="7">
        <f t="shared" si="41"/>
        <v>0</v>
      </c>
      <c r="P41" s="5">
        <f t="shared" si="42"/>
        <v>7</v>
      </c>
      <c r="Q41" s="5">
        <f t="shared" si="88"/>
        <v>7</v>
      </c>
      <c r="R41" s="5">
        <f t="shared" si="89"/>
        <v>12</v>
      </c>
      <c r="S41" s="5">
        <f t="shared" si="90"/>
        <v>12</v>
      </c>
      <c r="T41" s="5">
        <f t="shared" si="43"/>
        <v>16.666666666666668</v>
      </c>
      <c r="U41" s="5">
        <f t="shared" si="44"/>
        <v>16.666666666666668</v>
      </c>
      <c r="V41" s="5">
        <f t="shared" si="45"/>
        <v>0</v>
      </c>
      <c r="W41" s="5">
        <f t="shared" si="46"/>
        <v>0</v>
      </c>
      <c r="X41" s="5">
        <f t="shared" si="91"/>
        <v>301.17730000000006</v>
      </c>
      <c r="Z41" s="1">
        <f t="shared" si="87"/>
        <v>7</v>
      </c>
      <c r="AA41" s="1">
        <f t="shared" si="48"/>
        <v>12</v>
      </c>
      <c r="AB41" s="1">
        <f t="shared" si="49"/>
        <v>0</v>
      </c>
      <c r="AC41" s="1">
        <f t="shared" si="50"/>
        <v>300.85199999999998</v>
      </c>
      <c r="AD41" s="4">
        <f t="shared" si="51"/>
        <v>7</v>
      </c>
      <c r="AE41" s="4">
        <f t="shared" si="52"/>
        <v>12</v>
      </c>
      <c r="AF41" s="4">
        <f t="shared" si="53"/>
        <v>0</v>
      </c>
      <c r="AG41" s="4">
        <f t="shared" si="54"/>
        <v>300.89400000000001</v>
      </c>
      <c r="AH41" s="4">
        <f t="shared" si="55"/>
        <v>7</v>
      </c>
      <c r="AI41" s="4">
        <f t="shared" si="56"/>
        <v>12</v>
      </c>
      <c r="AJ41" s="4">
        <f t="shared" si="57"/>
        <v>0</v>
      </c>
      <c r="AK41" s="4">
        <f t="shared" si="58"/>
        <v>300.80200000000002</v>
      </c>
      <c r="AL41" s="4">
        <f t="shared" si="59"/>
        <v>7</v>
      </c>
      <c r="AM41" s="4">
        <f t="shared" si="60"/>
        <v>12</v>
      </c>
      <c r="AN41" s="4">
        <f t="shared" si="61"/>
        <v>0</v>
      </c>
      <c r="AO41" s="4">
        <f t="shared" si="62"/>
        <v>301.08600000000001</v>
      </c>
      <c r="AP41" s="4">
        <f t="shared" si="63"/>
        <v>7</v>
      </c>
      <c r="AQ41" s="4">
        <f t="shared" si="64"/>
        <v>12</v>
      </c>
      <c r="AR41" s="4">
        <f t="shared" si="65"/>
        <v>0</v>
      </c>
      <c r="AS41" s="4">
        <f t="shared" si="66"/>
        <v>301.41000000000003</v>
      </c>
      <c r="AT41" s="4">
        <f t="shared" si="67"/>
        <v>7</v>
      </c>
      <c r="AU41" s="4">
        <f t="shared" si="68"/>
        <v>12</v>
      </c>
      <c r="AV41" s="4">
        <f t="shared" si="69"/>
        <v>0</v>
      </c>
      <c r="AW41" s="4">
        <f t="shared" si="70"/>
        <v>301.13200000000001</v>
      </c>
      <c r="AX41" s="4">
        <f t="shared" si="71"/>
        <v>7</v>
      </c>
      <c r="AY41" s="4">
        <f t="shared" si="72"/>
        <v>12</v>
      </c>
      <c r="AZ41" s="4">
        <f t="shared" si="73"/>
        <v>0</v>
      </c>
      <c r="BA41" s="4">
        <f t="shared" si="74"/>
        <v>301.68299999999999</v>
      </c>
      <c r="BB41" s="4">
        <f t="shared" si="75"/>
        <v>7</v>
      </c>
      <c r="BC41" s="4">
        <f t="shared" si="76"/>
        <v>12</v>
      </c>
      <c r="BD41" s="4">
        <f t="shared" si="77"/>
        <v>0</v>
      </c>
      <c r="BE41" s="4">
        <f t="shared" si="78"/>
        <v>301.08100000000002</v>
      </c>
      <c r="BF41" s="4">
        <f t="shared" si="79"/>
        <v>7</v>
      </c>
      <c r="BG41" s="4">
        <f t="shared" si="80"/>
        <v>12</v>
      </c>
      <c r="BH41" s="4">
        <f t="shared" si="81"/>
        <v>0</v>
      </c>
      <c r="BI41" s="4">
        <f t="shared" si="82"/>
        <v>301.68099999999998</v>
      </c>
      <c r="BJ41" s="4">
        <f t="shared" si="83"/>
        <v>7</v>
      </c>
      <c r="BK41" s="4">
        <f t="shared" si="84"/>
        <v>12</v>
      </c>
      <c r="BL41" s="4">
        <f t="shared" si="85"/>
        <v>0</v>
      </c>
      <c r="BM41" s="4">
        <f t="shared" si="86"/>
        <v>301.15199999999999</v>
      </c>
    </row>
    <row r="42" spans="1:65" x14ac:dyDescent="0.25">
      <c r="A42" s="2" t="s">
        <v>10</v>
      </c>
      <c r="B42" s="2">
        <v>148</v>
      </c>
      <c r="C42" s="3">
        <v>510</v>
      </c>
      <c r="D42" s="3">
        <v>6</v>
      </c>
      <c r="E42" s="3">
        <v>11</v>
      </c>
      <c r="F42" s="2">
        <v>1</v>
      </c>
      <c r="H42" s="2">
        <v>7</v>
      </c>
      <c r="I42" s="2">
        <v>11</v>
      </c>
      <c r="J42" s="2">
        <v>0</v>
      </c>
      <c r="K42" s="2">
        <v>301.10599999999999</v>
      </c>
      <c r="M42" s="7">
        <f t="shared" si="39"/>
        <v>0</v>
      </c>
      <c r="N42" s="7">
        <f t="shared" si="40"/>
        <v>0</v>
      </c>
      <c r="O42" s="7">
        <f t="shared" si="41"/>
        <v>0</v>
      </c>
      <c r="P42" s="5">
        <f t="shared" si="42"/>
        <v>7</v>
      </c>
      <c r="Q42" s="5">
        <f t="shared" si="88"/>
        <v>7</v>
      </c>
      <c r="R42" s="5">
        <f t="shared" si="89"/>
        <v>11</v>
      </c>
      <c r="S42" s="5">
        <f t="shared" si="90"/>
        <v>11</v>
      </c>
      <c r="T42" s="5">
        <f t="shared" si="43"/>
        <v>16.666666666666668</v>
      </c>
      <c r="U42" s="5">
        <f t="shared" si="44"/>
        <v>16.666666666666668</v>
      </c>
      <c r="V42" s="5">
        <f t="shared" si="45"/>
        <v>0</v>
      </c>
      <c r="W42" s="5">
        <f t="shared" si="46"/>
        <v>0</v>
      </c>
      <c r="X42" s="5">
        <f t="shared" si="91"/>
        <v>300.89459999999997</v>
      </c>
      <c r="Z42" s="1">
        <f t="shared" si="87"/>
        <v>7</v>
      </c>
      <c r="AA42" s="1">
        <f t="shared" si="48"/>
        <v>11</v>
      </c>
      <c r="AB42" s="1">
        <f t="shared" si="49"/>
        <v>0</v>
      </c>
      <c r="AC42" s="1">
        <f t="shared" si="50"/>
        <v>301.10599999999999</v>
      </c>
      <c r="AD42" s="4">
        <f t="shared" si="51"/>
        <v>7</v>
      </c>
      <c r="AE42" s="4">
        <f t="shared" si="52"/>
        <v>11</v>
      </c>
      <c r="AF42" s="4">
        <f t="shared" si="53"/>
        <v>0</v>
      </c>
      <c r="AG42" s="4">
        <f t="shared" si="54"/>
        <v>300.74900000000002</v>
      </c>
      <c r="AH42" s="4">
        <f t="shared" si="55"/>
        <v>7</v>
      </c>
      <c r="AI42" s="4">
        <f t="shared" si="56"/>
        <v>11</v>
      </c>
      <c r="AJ42" s="4">
        <f t="shared" si="57"/>
        <v>0</v>
      </c>
      <c r="AK42" s="4">
        <f t="shared" si="58"/>
        <v>300.96300000000002</v>
      </c>
      <c r="AL42" s="4">
        <f t="shared" si="59"/>
        <v>7</v>
      </c>
      <c r="AM42" s="4">
        <f t="shared" si="60"/>
        <v>11</v>
      </c>
      <c r="AN42" s="4">
        <f t="shared" si="61"/>
        <v>0</v>
      </c>
      <c r="AO42" s="4">
        <f t="shared" si="62"/>
        <v>300.90699999999998</v>
      </c>
      <c r="AP42" s="4">
        <f t="shared" si="63"/>
        <v>7</v>
      </c>
      <c r="AQ42" s="4">
        <f t="shared" si="64"/>
        <v>11</v>
      </c>
      <c r="AR42" s="4">
        <f t="shared" si="65"/>
        <v>0</v>
      </c>
      <c r="AS42" s="4">
        <f t="shared" si="66"/>
        <v>300.77</v>
      </c>
      <c r="AT42" s="4">
        <f t="shared" si="67"/>
        <v>7</v>
      </c>
      <c r="AU42" s="4">
        <f t="shared" si="68"/>
        <v>11</v>
      </c>
      <c r="AV42" s="4">
        <f t="shared" si="69"/>
        <v>0</v>
      </c>
      <c r="AW42" s="4">
        <f t="shared" si="70"/>
        <v>300.85700000000003</v>
      </c>
      <c r="AX42" s="4">
        <f t="shared" si="71"/>
        <v>7</v>
      </c>
      <c r="AY42" s="4">
        <f t="shared" si="72"/>
        <v>11</v>
      </c>
      <c r="AZ42" s="4">
        <f t="shared" si="73"/>
        <v>0</v>
      </c>
      <c r="BA42" s="4">
        <f t="shared" si="74"/>
        <v>300.89100000000002</v>
      </c>
      <c r="BB42" s="4">
        <f t="shared" si="75"/>
        <v>7</v>
      </c>
      <c r="BC42" s="4">
        <f t="shared" si="76"/>
        <v>11</v>
      </c>
      <c r="BD42" s="4">
        <f t="shared" si="77"/>
        <v>0</v>
      </c>
      <c r="BE42" s="4">
        <f t="shared" si="78"/>
        <v>300.94</v>
      </c>
      <c r="BF42" s="4">
        <f t="shared" si="79"/>
        <v>7</v>
      </c>
      <c r="BG42" s="4">
        <f t="shared" si="80"/>
        <v>11</v>
      </c>
      <c r="BH42" s="4">
        <f t="shared" si="81"/>
        <v>0</v>
      </c>
      <c r="BI42" s="4">
        <f t="shared" si="82"/>
        <v>300.84800000000001</v>
      </c>
      <c r="BJ42" s="4">
        <f t="shared" si="83"/>
        <v>7</v>
      </c>
      <c r="BK42" s="4">
        <f t="shared" si="84"/>
        <v>11</v>
      </c>
      <c r="BL42" s="4">
        <f t="shared" si="85"/>
        <v>0</v>
      </c>
      <c r="BM42" s="4">
        <f t="shared" si="86"/>
        <v>300.91500000000002</v>
      </c>
    </row>
    <row r="43" spans="1:65" x14ac:dyDescent="0.25">
      <c r="A43" s="2" t="s">
        <v>11</v>
      </c>
      <c r="B43" s="2">
        <v>205</v>
      </c>
      <c r="C43" s="3">
        <v>1133</v>
      </c>
      <c r="D43" s="3">
        <v>11</v>
      </c>
      <c r="E43" s="3">
        <v>21</v>
      </c>
      <c r="F43" s="2">
        <v>1</v>
      </c>
      <c r="H43" s="2">
        <v>11</v>
      </c>
      <c r="I43" s="2">
        <v>22</v>
      </c>
      <c r="J43" s="2">
        <v>0</v>
      </c>
      <c r="K43" s="2">
        <v>300.88799999999998</v>
      </c>
      <c r="M43" s="7">
        <f t="shared" si="39"/>
        <v>0</v>
      </c>
      <c r="N43" s="7">
        <f t="shared" si="40"/>
        <v>0</v>
      </c>
      <c r="O43" s="7">
        <f t="shared" si="41"/>
        <v>0</v>
      </c>
      <c r="P43" s="5">
        <f t="shared" si="42"/>
        <v>11</v>
      </c>
      <c r="Q43" s="5">
        <f t="shared" si="88"/>
        <v>11</v>
      </c>
      <c r="R43" s="5">
        <f t="shared" si="89"/>
        <v>22</v>
      </c>
      <c r="S43" s="5">
        <f t="shared" si="90"/>
        <v>22</v>
      </c>
      <c r="T43" s="5">
        <f t="shared" si="43"/>
        <v>0</v>
      </c>
      <c r="U43" s="5">
        <f t="shared" si="44"/>
        <v>0</v>
      </c>
      <c r="V43" s="5">
        <f t="shared" si="45"/>
        <v>4.7619047619047619</v>
      </c>
      <c r="W43" s="5">
        <f t="shared" si="46"/>
        <v>4.7619047619047619</v>
      </c>
      <c r="X43" s="5">
        <f t="shared" si="91"/>
        <v>300.8526</v>
      </c>
      <c r="Z43" s="1">
        <f t="shared" si="87"/>
        <v>11</v>
      </c>
      <c r="AA43" s="1">
        <f t="shared" si="48"/>
        <v>22</v>
      </c>
      <c r="AB43" s="1">
        <f t="shared" si="49"/>
        <v>0</v>
      </c>
      <c r="AC43" s="1">
        <f t="shared" si="50"/>
        <v>300.88799999999998</v>
      </c>
      <c r="AD43" s="4">
        <f t="shared" si="51"/>
        <v>11</v>
      </c>
      <c r="AE43" s="4">
        <f t="shared" si="52"/>
        <v>22</v>
      </c>
      <c r="AF43" s="4">
        <f t="shared" si="53"/>
        <v>0</v>
      </c>
      <c r="AG43" s="4">
        <f t="shared" si="54"/>
        <v>300.827</v>
      </c>
      <c r="AH43" s="4">
        <f t="shared" si="55"/>
        <v>11</v>
      </c>
      <c r="AI43" s="4">
        <f t="shared" si="56"/>
        <v>22</v>
      </c>
      <c r="AJ43" s="4">
        <f t="shared" si="57"/>
        <v>0</v>
      </c>
      <c r="AK43" s="4">
        <f t="shared" si="58"/>
        <v>300.89499999999998</v>
      </c>
      <c r="AL43" s="4">
        <f t="shared" si="59"/>
        <v>11</v>
      </c>
      <c r="AM43" s="4">
        <f t="shared" si="60"/>
        <v>22</v>
      </c>
      <c r="AN43" s="4">
        <f t="shared" si="61"/>
        <v>0</v>
      </c>
      <c r="AO43" s="4">
        <f t="shared" si="62"/>
        <v>300.983</v>
      </c>
      <c r="AP43" s="4">
        <f t="shared" si="63"/>
        <v>11</v>
      </c>
      <c r="AQ43" s="4">
        <f t="shared" si="64"/>
        <v>22</v>
      </c>
      <c r="AR43" s="4">
        <f t="shared" si="65"/>
        <v>0</v>
      </c>
      <c r="AS43" s="4">
        <f t="shared" si="66"/>
        <v>301.02600000000001</v>
      </c>
      <c r="AT43" s="4">
        <f t="shared" si="67"/>
        <v>11</v>
      </c>
      <c r="AU43" s="4">
        <f t="shared" si="68"/>
        <v>22</v>
      </c>
      <c r="AV43" s="4">
        <f t="shared" si="69"/>
        <v>0</v>
      </c>
      <c r="AW43" s="4">
        <f t="shared" si="70"/>
        <v>300.96699999999998</v>
      </c>
      <c r="AX43" s="4">
        <f t="shared" si="71"/>
        <v>11</v>
      </c>
      <c r="AY43" s="4">
        <f t="shared" si="72"/>
        <v>22</v>
      </c>
      <c r="AZ43" s="4">
        <f t="shared" si="73"/>
        <v>0</v>
      </c>
      <c r="BA43" s="4">
        <f t="shared" si="74"/>
        <v>300.875</v>
      </c>
      <c r="BB43" s="4">
        <f t="shared" si="75"/>
        <v>11</v>
      </c>
      <c r="BC43" s="4">
        <f t="shared" si="76"/>
        <v>22</v>
      </c>
      <c r="BD43" s="4">
        <f t="shared" si="77"/>
        <v>0</v>
      </c>
      <c r="BE43" s="4">
        <f t="shared" si="78"/>
        <v>300.73700000000002</v>
      </c>
      <c r="BF43" s="4">
        <f t="shared" si="79"/>
        <v>11</v>
      </c>
      <c r="BG43" s="4">
        <f t="shared" si="80"/>
        <v>22</v>
      </c>
      <c r="BH43" s="4">
        <f t="shared" si="81"/>
        <v>0</v>
      </c>
      <c r="BI43" s="4">
        <f t="shared" si="82"/>
        <v>300.63799999999998</v>
      </c>
      <c r="BJ43" s="4">
        <f t="shared" si="83"/>
        <v>11</v>
      </c>
      <c r="BK43" s="4">
        <f t="shared" si="84"/>
        <v>22</v>
      </c>
      <c r="BL43" s="4">
        <f t="shared" si="85"/>
        <v>0</v>
      </c>
      <c r="BM43" s="4">
        <f t="shared" si="86"/>
        <v>300.69</v>
      </c>
    </row>
    <row r="44" spans="1:65" x14ac:dyDescent="0.25">
      <c r="A44" s="2" t="s">
        <v>11</v>
      </c>
      <c r="B44" s="2">
        <v>205</v>
      </c>
      <c r="C44" s="3">
        <v>1275</v>
      </c>
      <c r="D44" s="3">
        <v>10</v>
      </c>
      <c r="E44" s="3">
        <v>19</v>
      </c>
      <c r="F44" s="2">
        <v>1</v>
      </c>
      <c r="H44" s="2">
        <v>11</v>
      </c>
      <c r="I44" s="2">
        <v>22</v>
      </c>
      <c r="J44" s="2">
        <v>0</v>
      </c>
      <c r="K44" s="2">
        <v>300.76299999999998</v>
      </c>
      <c r="M44" s="7">
        <f t="shared" si="39"/>
        <v>0</v>
      </c>
      <c r="N44" s="7">
        <f t="shared" si="40"/>
        <v>0</v>
      </c>
      <c r="O44" s="7">
        <f t="shared" si="41"/>
        <v>0</v>
      </c>
      <c r="P44" s="5">
        <f t="shared" si="42"/>
        <v>11</v>
      </c>
      <c r="Q44" s="5">
        <f t="shared" si="88"/>
        <v>11</v>
      </c>
      <c r="R44" s="5">
        <f t="shared" si="89"/>
        <v>22</v>
      </c>
      <c r="S44" s="5">
        <f t="shared" si="90"/>
        <v>22</v>
      </c>
      <c r="T44" s="5">
        <f t="shared" si="43"/>
        <v>10</v>
      </c>
      <c r="U44" s="5">
        <f t="shared" si="44"/>
        <v>10</v>
      </c>
      <c r="V44" s="5">
        <f t="shared" si="45"/>
        <v>15.789473684210526</v>
      </c>
      <c r="W44" s="5">
        <f t="shared" si="46"/>
        <v>15.789473684210526</v>
      </c>
      <c r="X44" s="5">
        <f t="shared" si="91"/>
        <v>300.96989999999994</v>
      </c>
      <c r="Z44" s="1">
        <f t="shared" si="87"/>
        <v>11</v>
      </c>
      <c r="AA44" s="1">
        <f t="shared" si="48"/>
        <v>22</v>
      </c>
      <c r="AB44" s="1">
        <f t="shared" si="49"/>
        <v>0</v>
      </c>
      <c r="AC44" s="1">
        <f t="shared" si="50"/>
        <v>300.76299999999998</v>
      </c>
      <c r="AD44" s="4">
        <f t="shared" si="51"/>
        <v>11</v>
      </c>
      <c r="AE44" s="4">
        <f t="shared" si="52"/>
        <v>22</v>
      </c>
      <c r="AF44" s="4">
        <f t="shared" si="53"/>
        <v>0</v>
      </c>
      <c r="AG44" s="4">
        <f t="shared" si="54"/>
        <v>301.17399999999998</v>
      </c>
      <c r="AH44" s="4">
        <f t="shared" si="55"/>
        <v>11</v>
      </c>
      <c r="AI44" s="4">
        <f t="shared" si="56"/>
        <v>22</v>
      </c>
      <c r="AJ44" s="4">
        <f t="shared" si="57"/>
        <v>0</v>
      </c>
      <c r="AK44" s="4">
        <f t="shared" si="58"/>
        <v>300.91300000000001</v>
      </c>
      <c r="AL44" s="4">
        <f t="shared" si="59"/>
        <v>11</v>
      </c>
      <c r="AM44" s="4">
        <f t="shared" si="60"/>
        <v>22</v>
      </c>
      <c r="AN44" s="4">
        <f t="shared" si="61"/>
        <v>0</v>
      </c>
      <c r="AO44" s="4">
        <f t="shared" si="62"/>
        <v>300.88499999999999</v>
      </c>
      <c r="AP44" s="4">
        <f t="shared" si="63"/>
        <v>11</v>
      </c>
      <c r="AQ44" s="4">
        <f t="shared" si="64"/>
        <v>22</v>
      </c>
      <c r="AR44" s="4">
        <f t="shared" si="65"/>
        <v>0</v>
      </c>
      <c r="AS44" s="4">
        <f t="shared" si="66"/>
        <v>301.02600000000001</v>
      </c>
      <c r="AT44" s="4">
        <f t="shared" si="67"/>
        <v>11</v>
      </c>
      <c r="AU44" s="4">
        <f t="shared" si="68"/>
        <v>22</v>
      </c>
      <c r="AV44" s="4">
        <f t="shared" si="69"/>
        <v>0</v>
      </c>
      <c r="AW44" s="4">
        <f t="shared" si="70"/>
        <v>301.233</v>
      </c>
      <c r="AX44" s="4">
        <f t="shared" si="71"/>
        <v>11</v>
      </c>
      <c r="AY44" s="4">
        <f t="shared" si="72"/>
        <v>22</v>
      </c>
      <c r="AZ44" s="4">
        <f t="shared" si="73"/>
        <v>0</v>
      </c>
      <c r="BA44" s="4">
        <f t="shared" si="74"/>
        <v>301.11</v>
      </c>
      <c r="BB44" s="4">
        <f t="shared" si="75"/>
        <v>11</v>
      </c>
      <c r="BC44" s="4">
        <f t="shared" si="76"/>
        <v>22</v>
      </c>
      <c r="BD44" s="4">
        <f t="shared" si="77"/>
        <v>0</v>
      </c>
      <c r="BE44" s="4">
        <f t="shared" si="78"/>
        <v>300.90300000000002</v>
      </c>
      <c r="BF44" s="4">
        <f t="shared" si="79"/>
        <v>11</v>
      </c>
      <c r="BG44" s="4">
        <f t="shared" si="80"/>
        <v>22</v>
      </c>
      <c r="BH44" s="4">
        <f t="shared" si="81"/>
        <v>0</v>
      </c>
      <c r="BI44" s="4">
        <f t="shared" si="82"/>
        <v>300.846</v>
      </c>
      <c r="BJ44" s="4">
        <f t="shared" si="83"/>
        <v>11</v>
      </c>
      <c r="BK44" s="4">
        <f t="shared" si="84"/>
        <v>22</v>
      </c>
      <c r="BL44" s="4">
        <f t="shared" si="85"/>
        <v>0</v>
      </c>
      <c r="BM44" s="4">
        <f t="shared" si="86"/>
        <v>300.846</v>
      </c>
    </row>
    <row r="45" spans="1:65" x14ac:dyDescent="0.25">
      <c r="A45" s="2" t="s">
        <v>11</v>
      </c>
      <c r="B45" s="2">
        <v>205</v>
      </c>
      <c r="C45" s="3">
        <v>1322</v>
      </c>
      <c r="D45" s="3">
        <v>9</v>
      </c>
      <c r="E45" s="3">
        <v>18</v>
      </c>
      <c r="F45" s="2">
        <v>1</v>
      </c>
      <c r="H45" s="2">
        <v>10</v>
      </c>
      <c r="I45" s="2">
        <v>19</v>
      </c>
      <c r="J45" s="2">
        <v>0</v>
      </c>
      <c r="K45" s="2">
        <v>300.88200000000001</v>
      </c>
      <c r="M45" s="7">
        <f t="shared" si="39"/>
        <v>0</v>
      </c>
      <c r="N45" s="7">
        <f t="shared" si="40"/>
        <v>0</v>
      </c>
      <c r="O45" s="7">
        <f t="shared" si="41"/>
        <v>0</v>
      </c>
      <c r="P45" s="5">
        <f t="shared" si="42"/>
        <v>10</v>
      </c>
      <c r="Q45" s="5">
        <f t="shared" si="88"/>
        <v>10</v>
      </c>
      <c r="R45" s="5">
        <f t="shared" si="89"/>
        <v>19</v>
      </c>
      <c r="S45" s="5">
        <f t="shared" si="90"/>
        <v>19</v>
      </c>
      <c r="T45" s="5">
        <f t="shared" si="43"/>
        <v>11.111111111111111</v>
      </c>
      <c r="U45" s="5">
        <f t="shared" si="44"/>
        <v>11.111111111111111</v>
      </c>
      <c r="V45" s="5">
        <f t="shared" si="45"/>
        <v>5.5555555555555554</v>
      </c>
      <c r="W45" s="5">
        <f t="shared" si="46"/>
        <v>5.5555555555555554</v>
      </c>
      <c r="X45" s="5">
        <f t="shared" si="91"/>
        <v>300.81979999999999</v>
      </c>
      <c r="Z45" s="1">
        <f t="shared" si="87"/>
        <v>10</v>
      </c>
      <c r="AA45" s="1">
        <f t="shared" si="48"/>
        <v>19</v>
      </c>
      <c r="AB45" s="1">
        <f t="shared" si="49"/>
        <v>0</v>
      </c>
      <c r="AC45" s="1">
        <f t="shared" si="50"/>
        <v>300.88200000000001</v>
      </c>
      <c r="AD45" s="4">
        <f t="shared" si="51"/>
        <v>10</v>
      </c>
      <c r="AE45" s="4">
        <f t="shared" si="52"/>
        <v>19</v>
      </c>
      <c r="AF45" s="4">
        <f t="shared" si="53"/>
        <v>0</v>
      </c>
      <c r="AG45" s="4">
        <f t="shared" si="54"/>
        <v>300.91199999999998</v>
      </c>
      <c r="AH45" s="4">
        <f t="shared" si="55"/>
        <v>10</v>
      </c>
      <c r="AI45" s="4">
        <f t="shared" si="56"/>
        <v>19</v>
      </c>
      <c r="AJ45" s="4">
        <f t="shared" si="57"/>
        <v>0</v>
      </c>
      <c r="AK45" s="4">
        <f t="shared" si="58"/>
        <v>300.67899999999997</v>
      </c>
      <c r="AL45" s="4">
        <f t="shared" si="59"/>
        <v>10</v>
      </c>
      <c r="AM45" s="4">
        <f t="shared" si="60"/>
        <v>19</v>
      </c>
      <c r="AN45" s="4">
        <f t="shared" si="61"/>
        <v>0</v>
      </c>
      <c r="AO45" s="4">
        <f t="shared" si="62"/>
        <v>300.65499999999997</v>
      </c>
      <c r="AP45" s="4">
        <f t="shared" si="63"/>
        <v>10</v>
      </c>
      <c r="AQ45" s="4">
        <f t="shared" si="64"/>
        <v>19</v>
      </c>
      <c r="AR45" s="4">
        <f t="shared" si="65"/>
        <v>0</v>
      </c>
      <c r="AS45" s="4">
        <f t="shared" si="66"/>
        <v>300.92099999999999</v>
      </c>
      <c r="AT45" s="4">
        <f t="shared" si="67"/>
        <v>10</v>
      </c>
      <c r="AU45" s="4">
        <f t="shared" si="68"/>
        <v>19</v>
      </c>
      <c r="AV45" s="4">
        <f t="shared" si="69"/>
        <v>0</v>
      </c>
      <c r="AW45" s="4">
        <f t="shared" si="70"/>
        <v>300.75900000000001</v>
      </c>
      <c r="AX45" s="4">
        <f t="shared" si="71"/>
        <v>10</v>
      </c>
      <c r="AY45" s="4">
        <f t="shared" si="72"/>
        <v>19</v>
      </c>
      <c r="AZ45" s="4">
        <f t="shared" si="73"/>
        <v>0</v>
      </c>
      <c r="BA45" s="4">
        <f t="shared" si="74"/>
        <v>300.77199999999999</v>
      </c>
      <c r="BB45" s="4">
        <f t="shared" si="75"/>
        <v>10</v>
      </c>
      <c r="BC45" s="4">
        <f t="shared" si="76"/>
        <v>19</v>
      </c>
      <c r="BD45" s="4">
        <f t="shared" si="77"/>
        <v>0</v>
      </c>
      <c r="BE45" s="4">
        <f t="shared" si="78"/>
        <v>300.791</v>
      </c>
      <c r="BF45" s="4">
        <f t="shared" si="79"/>
        <v>10</v>
      </c>
      <c r="BG45" s="4">
        <f t="shared" si="80"/>
        <v>19</v>
      </c>
      <c r="BH45" s="4">
        <f t="shared" si="81"/>
        <v>0</v>
      </c>
      <c r="BI45" s="4">
        <f t="shared" si="82"/>
        <v>300.75599999999997</v>
      </c>
      <c r="BJ45" s="4">
        <f t="shared" si="83"/>
        <v>10</v>
      </c>
      <c r="BK45" s="4">
        <f t="shared" si="84"/>
        <v>19</v>
      </c>
      <c r="BL45" s="4">
        <f t="shared" si="85"/>
        <v>0</v>
      </c>
      <c r="BM45" s="4">
        <f t="shared" si="86"/>
        <v>301.07100000000003</v>
      </c>
    </row>
    <row r="46" spans="1:65" x14ac:dyDescent="0.25">
      <c r="A46" s="2" t="s">
        <v>11</v>
      </c>
      <c r="B46" s="2">
        <v>205</v>
      </c>
      <c r="C46" s="3">
        <v>1455</v>
      </c>
      <c r="D46" s="3">
        <v>9</v>
      </c>
      <c r="E46" s="3">
        <v>17</v>
      </c>
      <c r="F46" s="2">
        <v>1</v>
      </c>
      <c r="H46" s="2">
        <v>10</v>
      </c>
      <c r="I46" s="2">
        <v>18</v>
      </c>
      <c r="J46" s="2">
        <v>0</v>
      </c>
      <c r="K46" s="2">
        <v>300.83199999999999</v>
      </c>
      <c r="M46" s="7">
        <f t="shared" si="39"/>
        <v>0</v>
      </c>
      <c r="N46" s="7">
        <f t="shared" si="40"/>
        <v>0</v>
      </c>
      <c r="O46" s="7">
        <f t="shared" si="41"/>
        <v>0</v>
      </c>
      <c r="P46" s="5">
        <f t="shared" si="42"/>
        <v>10</v>
      </c>
      <c r="Q46" s="5">
        <f t="shared" si="88"/>
        <v>10</v>
      </c>
      <c r="R46" s="5">
        <f t="shared" si="89"/>
        <v>18</v>
      </c>
      <c r="S46" s="5">
        <f t="shared" si="90"/>
        <v>18</v>
      </c>
      <c r="T46" s="5">
        <f t="shared" si="43"/>
        <v>11.111111111111111</v>
      </c>
      <c r="U46" s="5">
        <f t="shared" si="44"/>
        <v>11.111111111111111</v>
      </c>
      <c r="V46" s="5">
        <f t="shared" si="45"/>
        <v>5.882352941176471</v>
      </c>
      <c r="W46" s="5">
        <f t="shared" si="46"/>
        <v>5.882352941176471</v>
      </c>
      <c r="X46" s="5">
        <f t="shared" si="91"/>
        <v>300.98190000000005</v>
      </c>
      <c r="Z46" s="1">
        <f t="shared" si="87"/>
        <v>10</v>
      </c>
      <c r="AA46" s="1">
        <f t="shared" si="48"/>
        <v>18</v>
      </c>
      <c r="AB46" s="1">
        <f t="shared" si="49"/>
        <v>0</v>
      </c>
      <c r="AC46" s="1">
        <f t="shared" si="50"/>
        <v>300.83199999999999</v>
      </c>
      <c r="AD46" s="4">
        <f t="shared" si="51"/>
        <v>10</v>
      </c>
      <c r="AE46" s="4">
        <f t="shared" si="52"/>
        <v>18</v>
      </c>
      <c r="AF46" s="4">
        <f t="shared" si="53"/>
        <v>0</v>
      </c>
      <c r="AG46" s="4">
        <f t="shared" si="54"/>
        <v>300.97300000000001</v>
      </c>
      <c r="AH46" s="4">
        <f t="shared" si="55"/>
        <v>10</v>
      </c>
      <c r="AI46" s="4">
        <f t="shared" si="56"/>
        <v>18</v>
      </c>
      <c r="AJ46" s="4">
        <f t="shared" si="57"/>
        <v>0</v>
      </c>
      <c r="AK46" s="4">
        <f t="shared" si="58"/>
        <v>301.09500000000003</v>
      </c>
      <c r="AL46" s="4">
        <f t="shared" si="59"/>
        <v>10</v>
      </c>
      <c r="AM46" s="4">
        <f t="shared" si="60"/>
        <v>18</v>
      </c>
      <c r="AN46" s="4">
        <f t="shared" si="61"/>
        <v>0</v>
      </c>
      <c r="AO46" s="4">
        <f t="shared" si="62"/>
        <v>301.43299999999999</v>
      </c>
      <c r="AP46" s="4">
        <f t="shared" si="63"/>
        <v>10</v>
      </c>
      <c r="AQ46" s="4">
        <f t="shared" si="64"/>
        <v>18</v>
      </c>
      <c r="AR46" s="4">
        <f t="shared" si="65"/>
        <v>0</v>
      </c>
      <c r="AS46" s="4">
        <f t="shared" si="66"/>
        <v>301.12799999999999</v>
      </c>
      <c r="AT46" s="4">
        <f t="shared" si="67"/>
        <v>10</v>
      </c>
      <c r="AU46" s="4">
        <f t="shared" si="68"/>
        <v>18</v>
      </c>
      <c r="AV46" s="4">
        <f t="shared" si="69"/>
        <v>0</v>
      </c>
      <c r="AW46" s="4">
        <f t="shared" si="70"/>
        <v>301.17</v>
      </c>
      <c r="AX46" s="4">
        <f t="shared" si="71"/>
        <v>10</v>
      </c>
      <c r="AY46" s="4">
        <f t="shared" si="72"/>
        <v>18</v>
      </c>
      <c r="AZ46" s="4">
        <f t="shared" si="73"/>
        <v>0</v>
      </c>
      <c r="BA46" s="4">
        <f t="shared" si="74"/>
        <v>300.93200000000002</v>
      </c>
      <c r="BB46" s="4">
        <f t="shared" si="75"/>
        <v>10</v>
      </c>
      <c r="BC46" s="4">
        <f t="shared" si="76"/>
        <v>18</v>
      </c>
      <c r="BD46" s="4">
        <f t="shared" si="77"/>
        <v>0</v>
      </c>
      <c r="BE46" s="4">
        <f t="shared" si="78"/>
        <v>300.86</v>
      </c>
      <c r="BF46" s="4">
        <f t="shared" si="79"/>
        <v>10</v>
      </c>
      <c r="BG46" s="4">
        <f t="shared" si="80"/>
        <v>18</v>
      </c>
      <c r="BH46" s="4">
        <f t="shared" si="81"/>
        <v>0</v>
      </c>
      <c r="BI46" s="4">
        <f t="shared" si="82"/>
        <v>300.77100000000002</v>
      </c>
      <c r="BJ46" s="4">
        <f t="shared" si="83"/>
        <v>10</v>
      </c>
      <c r="BK46" s="4">
        <f t="shared" si="84"/>
        <v>18</v>
      </c>
      <c r="BL46" s="4">
        <f t="shared" si="85"/>
        <v>0</v>
      </c>
      <c r="BM46" s="4">
        <f t="shared" si="86"/>
        <v>300.625</v>
      </c>
    </row>
    <row r="47" spans="1:65" x14ac:dyDescent="0.25">
      <c r="A47" s="2" t="s">
        <v>11</v>
      </c>
      <c r="B47" s="2">
        <v>205</v>
      </c>
      <c r="C47" s="3">
        <v>1510</v>
      </c>
      <c r="D47" s="3">
        <v>8</v>
      </c>
      <c r="E47" s="3">
        <v>16</v>
      </c>
      <c r="F47" s="2">
        <v>1</v>
      </c>
      <c r="H47" s="2">
        <v>9</v>
      </c>
      <c r="I47" s="2">
        <v>18</v>
      </c>
      <c r="J47" s="2">
        <v>0</v>
      </c>
      <c r="K47" s="2">
        <v>300.81099999999998</v>
      </c>
      <c r="M47" s="7">
        <f t="shared" si="39"/>
        <v>0</v>
      </c>
      <c r="N47" s="7">
        <f t="shared" si="40"/>
        <v>0</v>
      </c>
      <c r="O47" s="7">
        <f t="shared" si="41"/>
        <v>0</v>
      </c>
      <c r="P47" s="5">
        <f t="shared" si="42"/>
        <v>9</v>
      </c>
      <c r="Q47" s="5">
        <f t="shared" si="88"/>
        <v>9</v>
      </c>
      <c r="R47" s="5">
        <f t="shared" si="89"/>
        <v>18</v>
      </c>
      <c r="S47" s="5">
        <f t="shared" si="90"/>
        <v>18</v>
      </c>
      <c r="T47" s="5">
        <f t="shared" si="43"/>
        <v>12.5</v>
      </c>
      <c r="U47" s="5">
        <f t="shared" si="44"/>
        <v>12.5</v>
      </c>
      <c r="V47" s="5">
        <f t="shared" si="45"/>
        <v>12.5</v>
      </c>
      <c r="W47" s="5">
        <f t="shared" si="46"/>
        <v>12.5</v>
      </c>
      <c r="X47" s="5">
        <f t="shared" si="91"/>
        <v>301.04709999999989</v>
      </c>
      <c r="Z47" s="1">
        <f t="shared" si="87"/>
        <v>9</v>
      </c>
      <c r="AA47" s="1">
        <f t="shared" si="48"/>
        <v>18</v>
      </c>
      <c r="AB47" s="1">
        <f t="shared" si="49"/>
        <v>0</v>
      </c>
      <c r="AC47" s="1">
        <f t="shared" si="50"/>
        <v>300.81099999999998</v>
      </c>
      <c r="AD47" s="4">
        <f t="shared" si="51"/>
        <v>9</v>
      </c>
      <c r="AE47" s="4">
        <f t="shared" si="52"/>
        <v>18</v>
      </c>
      <c r="AF47" s="4">
        <f t="shared" si="53"/>
        <v>0</v>
      </c>
      <c r="AG47" s="4">
        <f t="shared" si="54"/>
        <v>300.93</v>
      </c>
      <c r="AH47" s="4">
        <f t="shared" si="55"/>
        <v>9</v>
      </c>
      <c r="AI47" s="4">
        <f t="shared" si="56"/>
        <v>18</v>
      </c>
      <c r="AJ47" s="4">
        <f t="shared" si="57"/>
        <v>0</v>
      </c>
      <c r="AK47" s="4">
        <f t="shared" si="58"/>
        <v>301.51499999999999</v>
      </c>
      <c r="AL47" s="4">
        <f t="shared" si="59"/>
        <v>9</v>
      </c>
      <c r="AM47" s="4">
        <f t="shared" si="60"/>
        <v>18</v>
      </c>
      <c r="AN47" s="4">
        <f t="shared" si="61"/>
        <v>0</v>
      </c>
      <c r="AO47" s="4">
        <f t="shared" si="62"/>
        <v>300.84199999999998</v>
      </c>
      <c r="AP47" s="4">
        <f t="shared" si="63"/>
        <v>9</v>
      </c>
      <c r="AQ47" s="4">
        <f t="shared" si="64"/>
        <v>18</v>
      </c>
      <c r="AR47" s="4">
        <f t="shared" si="65"/>
        <v>0</v>
      </c>
      <c r="AS47" s="4">
        <f t="shared" si="66"/>
        <v>301.10000000000002</v>
      </c>
      <c r="AT47" s="4">
        <f t="shared" si="67"/>
        <v>9</v>
      </c>
      <c r="AU47" s="4">
        <f t="shared" si="68"/>
        <v>18</v>
      </c>
      <c r="AV47" s="4">
        <f t="shared" si="69"/>
        <v>0</v>
      </c>
      <c r="AW47" s="4">
        <f t="shared" si="70"/>
        <v>301.06200000000001</v>
      </c>
      <c r="AX47" s="4">
        <f t="shared" si="71"/>
        <v>9</v>
      </c>
      <c r="AY47" s="4">
        <f t="shared" si="72"/>
        <v>18</v>
      </c>
      <c r="AZ47" s="4">
        <f t="shared" si="73"/>
        <v>0</v>
      </c>
      <c r="BA47" s="4">
        <f t="shared" si="74"/>
        <v>301.44299999999998</v>
      </c>
      <c r="BB47" s="4">
        <f t="shared" si="75"/>
        <v>9</v>
      </c>
      <c r="BC47" s="4">
        <f t="shared" si="76"/>
        <v>18</v>
      </c>
      <c r="BD47" s="4">
        <f t="shared" si="77"/>
        <v>0</v>
      </c>
      <c r="BE47" s="4">
        <f t="shared" si="78"/>
        <v>301.10199999999998</v>
      </c>
      <c r="BF47" s="4">
        <f t="shared" si="79"/>
        <v>9</v>
      </c>
      <c r="BG47" s="4">
        <f t="shared" si="80"/>
        <v>18</v>
      </c>
      <c r="BH47" s="4">
        <f t="shared" si="81"/>
        <v>0</v>
      </c>
      <c r="BI47" s="4">
        <f t="shared" si="82"/>
        <v>301.05500000000001</v>
      </c>
      <c r="BJ47" s="4">
        <f t="shared" si="83"/>
        <v>9</v>
      </c>
      <c r="BK47" s="4">
        <f t="shared" si="84"/>
        <v>18</v>
      </c>
      <c r="BL47" s="4">
        <f t="shared" si="85"/>
        <v>0</v>
      </c>
      <c r="BM47" s="4">
        <f t="shared" si="86"/>
        <v>300.61099999999999</v>
      </c>
    </row>
    <row r="48" spans="1:65" x14ac:dyDescent="0.25">
      <c r="A48" s="2" t="s">
        <v>11</v>
      </c>
      <c r="B48" s="2">
        <v>205</v>
      </c>
      <c r="C48" s="3">
        <v>1650</v>
      </c>
      <c r="D48" s="3">
        <v>8</v>
      </c>
      <c r="E48" s="3">
        <v>15</v>
      </c>
      <c r="F48" s="2">
        <v>1</v>
      </c>
      <c r="H48" s="2">
        <v>9</v>
      </c>
      <c r="I48" s="2">
        <v>18</v>
      </c>
      <c r="J48" s="2">
        <v>0</v>
      </c>
      <c r="K48" s="2">
        <v>300.81299999999999</v>
      </c>
      <c r="M48" s="7">
        <f t="shared" si="39"/>
        <v>0</v>
      </c>
      <c r="N48" s="7">
        <f t="shared" si="40"/>
        <v>0</v>
      </c>
      <c r="O48" s="7">
        <f t="shared" si="41"/>
        <v>0</v>
      </c>
      <c r="P48" s="5">
        <f t="shared" si="42"/>
        <v>9</v>
      </c>
      <c r="Q48" s="5">
        <f t="shared" si="88"/>
        <v>9</v>
      </c>
      <c r="R48" s="5">
        <f t="shared" si="89"/>
        <v>18</v>
      </c>
      <c r="S48" s="5">
        <f t="shared" si="90"/>
        <v>18</v>
      </c>
      <c r="T48" s="5">
        <f t="shared" si="43"/>
        <v>12.5</v>
      </c>
      <c r="U48" s="5">
        <f t="shared" si="44"/>
        <v>12.5</v>
      </c>
      <c r="V48" s="5">
        <f t="shared" si="45"/>
        <v>20</v>
      </c>
      <c r="W48" s="5">
        <f t="shared" si="46"/>
        <v>20</v>
      </c>
      <c r="X48" s="5">
        <f t="shared" si="91"/>
        <v>300.99970000000002</v>
      </c>
      <c r="Z48" s="1">
        <f t="shared" si="87"/>
        <v>9</v>
      </c>
      <c r="AA48" s="1">
        <f t="shared" si="48"/>
        <v>18</v>
      </c>
      <c r="AB48" s="1">
        <f t="shared" si="49"/>
        <v>0</v>
      </c>
      <c r="AC48" s="1">
        <f t="shared" si="50"/>
        <v>300.81299999999999</v>
      </c>
      <c r="AD48" s="4">
        <f t="shared" si="51"/>
        <v>9</v>
      </c>
      <c r="AE48" s="4">
        <f t="shared" si="52"/>
        <v>18</v>
      </c>
      <c r="AF48" s="4">
        <f t="shared" si="53"/>
        <v>0</v>
      </c>
      <c r="AG48" s="4">
        <f t="shared" si="54"/>
        <v>300.87299999999999</v>
      </c>
      <c r="AH48" s="4">
        <f t="shared" si="55"/>
        <v>9</v>
      </c>
      <c r="AI48" s="4">
        <f t="shared" si="56"/>
        <v>18</v>
      </c>
      <c r="AJ48" s="4">
        <f t="shared" si="57"/>
        <v>0</v>
      </c>
      <c r="AK48" s="4">
        <f t="shared" si="58"/>
        <v>300.947</v>
      </c>
      <c r="AL48" s="4">
        <f t="shared" si="59"/>
        <v>9</v>
      </c>
      <c r="AM48" s="4">
        <f t="shared" si="60"/>
        <v>18</v>
      </c>
      <c r="AN48" s="4">
        <f t="shared" si="61"/>
        <v>0</v>
      </c>
      <c r="AO48" s="4">
        <f t="shared" si="62"/>
        <v>300.61500000000001</v>
      </c>
      <c r="AP48" s="4">
        <f t="shared" si="63"/>
        <v>9</v>
      </c>
      <c r="AQ48" s="4">
        <f t="shared" si="64"/>
        <v>18</v>
      </c>
      <c r="AR48" s="4">
        <f t="shared" si="65"/>
        <v>0</v>
      </c>
      <c r="AS48" s="4">
        <f t="shared" si="66"/>
        <v>300.88400000000001</v>
      </c>
      <c r="AT48" s="4">
        <f t="shared" si="67"/>
        <v>9</v>
      </c>
      <c r="AU48" s="4">
        <f t="shared" si="68"/>
        <v>18</v>
      </c>
      <c r="AV48" s="4">
        <f t="shared" si="69"/>
        <v>0</v>
      </c>
      <c r="AW48" s="4">
        <f t="shared" si="70"/>
        <v>301.16300000000001</v>
      </c>
      <c r="AX48" s="4">
        <f t="shared" si="71"/>
        <v>9</v>
      </c>
      <c r="AY48" s="4">
        <f t="shared" si="72"/>
        <v>18</v>
      </c>
      <c r="AZ48" s="4">
        <f t="shared" si="73"/>
        <v>0</v>
      </c>
      <c r="BA48" s="4">
        <f t="shared" si="74"/>
        <v>301.36799999999999</v>
      </c>
      <c r="BB48" s="4">
        <f t="shared" si="75"/>
        <v>9</v>
      </c>
      <c r="BC48" s="4">
        <f t="shared" si="76"/>
        <v>18</v>
      </c>
      <c r="BD48" s="4">
        <f t="shared" si="77"/>
        <v>0</v>
      </c>
      <c r="BE48" s="4">
        <f t="shared" si="78"/>
        <v>301.14800000000002</v>
      </c>
      <c r="BF48" s="4">
        <f t="shared" si="79"/>
        <v>9</v>
      </c>
      <c r="BG48" s="4">
        <f t="shared" si="80"/>
        <v>18</v>
      </c>
      <c r="BH48" s="4">
        <f t="shared" si="81"/>
        <v>0</v>
      </c>
      <c r="BI48" s="4">
        <f t="shared" si="82"/>
        <v>300.89600000000002</v>
      </c>
      <c r="BJ48" s="4">
        <f t="shared" si="83"/>
        <v>9</v>
      </c>
      <c r="BK48" s="4">
        <f t="shared" si="84"/>
        <v>18</v>
      </c>
      <c r="BL48" s="4">
        <f t="shared" si="85"/>
        <v>0</v>
      </c>
      <c r="BM48" s="4">
        <f t="shared" si="86"/>
        <v>301.29000000000002</v>
      </c>
    </row>
    <row r="49" spans="1:65" x14ac:dyDescent="0.25">
      <c r="A49" s="2" t="s">
        <v>11</v>
      </c>
      <c r="B49" s="1">
        <v>205</v>
      </c>
      <c r="C49" s="1">
        <v>1699</v>
      </c>
      <c r="D49" s="1">
        <v>7</v>
      </c>
      <c r="E49" s="1">
        <v>14</v>
      </c>
      <c r="F49" s="2">
        <v>1</v>
      </c>
      <c r="H49" s="2">
        <v>8</v>
      </c>
      <c r="I49" s="2">
        <v>16</v>
      </c>
      <c r="J49" s="2">
        <v>0</v>
      </c>
      <c r="K49" s="2">
        <v>301.49799999999999</v>
      </c>
      <c r="M49" s="7">
        <f t="shared" si="39"/>
        <v>0</v>
      </c>
      <c r="N49" s="7">
        <f t="shared" si="40"/>
        <v>0</v>
      </c>
      <c r="O49" s="7">
        <f t="shared" si="41"/>
        <v>0</v>
      </c>
      <c r="P49" s="5">
        <f t="shared" si="42"/>
        <v>8</v>
      </c>
      <c r="Q49" s="5">
        <f t="shared" si="88"/>
        <v>8</v>
      </c>
      <c r="R49" s="5">
        <f t="shared" si="89"/>
        <v>16</v>
      </c>
      <c r="S49" s="5">
        <f t="shared" si="90"/>
        <v>16</v>
      </c>
      <c r="T49" s="5">
        <f t="shared" si="43"/>
        <v>14.285714285714286</v>
      </c>
      <c r="U49" s="5">
        <f t="shared" si="44"/>
        <v>14.285714285714286</v>
      </c>
      <c r="V49" s="5">
        <f t="shared" si="45"/>
        <v>14.285714285714286</v>
      </c>
      <c r="W49" s="5">
        <f t="shared" si="46"/>
        <v>14.285714285714286</v>
      </c>
      <c r="X49" s="5">
        <f t="shared" si="91"/>
        <v>301.00290000000001</v>
      </c>
      <c r="Z49" s="1">
        <f t="shared" si="87"/>
        <v>8</v>
      </c>
      <c r="AA49" s="1">
        <f t="shared" si="48"/>
        <v>16</v>
      </c>
      <c r="AB49" s="1">
        <f t="shared" si="49"/>
        <v>0</v>
      </c>
      <c r="AC49" s="1">
        <f t="shared" si="50"/>
        <v>301.49799999999999</v>
      </c>
      <c r="AD49" s="4">
        <f t="shared" si="51"/>
        <v>8</v>
      </c>
      <c r="AE49" s="4">
        <f t="shared" si="52"/>
        <v>16</v>
      </c>
      <c r="AF49" s="4">
        <f t="shared" si="53"/>
        <v>0</v>
      </c>
      <c r="AG49" s="4">
        <f t="shared" si="54"/>
        <v>301.29599999999999</v>
      </c>
      <c r="AH49" s="4">
        <f t="shared" si="55"/>
        <v>8</v>
      </c>
      <c r="AI49" s="4">
        <f t="shared" si="56"/>
        <v>16</v>
      </c>
      <c r="AJ49" s="4">
        <f t="shared" si="57"/>
        <v>0</v>
      </c>
      <c r="AK49" s="4">
        <f t="shared" si="58"/>
        <v>300.87200000000001</v>
      </c>
      <c r="AL49" s="4">
        <f t="shared" si="59"/>
        <v>8</v>
      </c>
      <c r="AM49" s="4">
        <f t="shared" si="60"/>
        <v>16</v>
      </c>
      <c r="AN49" s="4">
        <f t="shared" si="61"/>
        <v>0</v>
      </c>
      <c r="AO49" s="4">
        <f t="shared" si="62"/>
        <v>301.28399999999999</v>
      </c>
      <c r="AP49" s="4">
        <f t="shared" si="63"/>
        <v>8</v>
      </c>
      <c r="AQ49" s="4">
        <f t="shared" si="64"/>
        <v>16</v>
      </c>
      <c r="AR49" s="4">
        <f t="shared" si="65"/>
        <v>0</v>
      </c>
      <c r="AS49" s="4">
        <f t="shared" si="66"/>
        <v>300.911</v>
      </c>
      <c r="AT49" s="4">
        <f t="shared" si="67"/>
        <v>8</v>
      </c>
      <c r="AU49" s="4">
        <f t="shared" si="68"/>
        <v>16</v>
      </c>
      <c r="AV49" s="4">
        <f t="shared" si="69"/>
        <v>0</v>
      </c>
      <c r="AW49" s="4">
        <f t="shared" si="70"/>
        <v>300.91500000000002</v>
      </c>
      <c r="AX49" s="4">
        <f t="shared" si="71"/>
        <v>8</v>
      </c>
      <c r="AY49" s="4">
        <f t="shared" si="72"/>
        <v>16</v>
      </c>
      <c r="AZ49" s="4">
        <f t="shared" si="73"/>
        <v>0</v>
      </c>
      <c r="BA49" s="4">
        <f t="shared" si="74"/>
        <v>301.23</v>
      </c>
      <c r="BB49" s="4">
        <f t="shared" si="75"/>
        <v>8</v>
      </c>
      <c r="BC49" s="4">
        <f t="shared" si="76"/>
        <v>16</v>
      </c>
      <c r="BD49" s="4">
        <f t="shared" si="77"/>
        <v>0</v>
      </c>
      <c r="BE49" s="4">
        <f t="shared" si="78"/>
        <v>300.87099999999998</v>
      </c>
      <c r="BF49" s="4">
        <f t="shared" si="79"/>
        <v>8</v>
      </c>
      <c r="BG49" s="4">
        <f t="shared" si="80"/>
        <v>16</v>
      </c>
      <c r="BH49" s="4">
        <f t="shared" si="81"/>
        <v>0</v>
      </c>
      <c r="BI49" s="4">
        <f t="shared" si="82"/>
        <v>300.65600000000001</v>
      </c>
      <c r="BJ49" s="4">
        <f t="shared" si="83"/>
        <v>8</v>
      </c>
      <c r="BK49" s="4">
        <f t="shared" si="84"/>
        <v>16</v>
      </c>
      <c r="BL49" s="4">
        <f t="shared" si="85"/>
        <v>0</v>
      </c>
      <c r="BM49" s="4">
        <f t="shared" si="86"/>
        <v>300.49599999999998</v>
      </c>
    </row>
    <row r="50" spans="1:65" x14ac:dyDescent="0.25">
      <c r="A50" s="2" t="s">
        <v>11</v>
      </c>
      <c r="B50" s="1">
        <v>205</v>
      </c>
      <c r="C50" s="1">
        <v>1888</v>
      </c>
      <c r="D50" s="1">
        <v>7</v>
      </c>
      <c r="E50" s="1">
        <v>13</v>
      </c>
      <c r="F50" s="2">
        <v>1</v>
      </c>
      <c r="H50" s="2">
        <v>8</v>
      </c>
      <c r="I50" s="2">
        <v>16</v>
      </c>
      <c r="J50" s="2">
        <v>0</v>
      </c>
      <c r="K50" s="2">
        <v>300.77300000000002</v>
      </c>
      <c r="M50" s="7">
        <f t="shared" si="39"/>
        <v>0</v>
      </c>
      <c r="N50" s="7">
        <f t="shared" si="40"/>
        <v>0</v>
      </c>
      <c r="O50" s="7">
        <f t="shared" si="41"/>
        <v>0</v>
      </c>
      <c r="P50" s="5">
        <f t="shared" si="42"/>
        <v>8</v>
      </c>
      <c r="Q50" s="5">
        <f t="shared" si="88"/>
        <v>8</v>
      </c>
      <c r="R50" s="5">
        <f t="shared" si="89"/>
        <v>16</v>
      </c>
      <c r="S50" s="5">
        <f t="shared" si="90"/>
        <v>16</v>
      </c>
      <c r="T50" s="5">
        <f t="shared" si="43"/>
        <v>14.285714285714286</v>
      </c>
      <c r="U50" s="5">
        <f t="shared" si="44"/>
        <v>14.285714285714286</v>
      </c>
      <c r="V50" s="5">
        <f t="shared" si="45"/>
        <v>23.076923076923077</v>
      </c>
      <c r="W50" s="5">
        <f t="shared" si="46"/>
        <v>23.076923076923077</v>
      </c>
      <c r="X50" s="5">
        <f t="shared" si="91"/>
        <v>300.96910000000003</v>
      </c>
      <c r="Z50" s="1">
        <f t="shared" si="87"/>
        <v>8</v>
      </c>
      <c r="AA50" s="1">
        <f t="shared" si="48"/>
        <v>16</v>
      </c>
      <c r="AB50" s="1">
        <f t="shared" si="49"/>
        <v>0</v>
      </c>
      <c r="AC50" s="1">
        <f t="shared" si="50"/>
        <v>300.77300000000002</v>
      </c>
      <c r="AD50" s="4">
        <f t="shared" si="51"/>
        <v>8</v>
      </c>
      <c r="AE50" s="4">
        <f t="shared" si="52"/>
        <v>16</v>
      </c>
      <c r="AF50" s="4">
        <f t="shared" si="53"/>
        <v>0</v>
      </c>
      <c r="AG50" s="4">
        <f t="shared" si="54"/>
        <v>300.90300000000002</v>
      </c>
      <c r="AH50" s="4">
        <f t="shared" si="55"/>
        <v>8</v>
      </c>
      <c r="AI50" s="4">
        <f t="shared" si="56"/>
        <v>16</v>
      </c>
      <c r="AJ50" s="4">
        <f t="shared" si="57"/>
        <v>0</v>
      </c>
      <c r="AK50" s="4">
        <f t="shared" si="58"/>
        <v>300.91199999999998</v>
      </c>
      <c r="AL50" s="4">
        <f t="shared" si="59"/>
        <v>8</v>
      </c>
      <c r="AM50" s="4">
        <f t="shared" si="60"/>
        <v>16</v>
      </c>
      <c r="AN50" s="4">
        <f t="shared" si="61"/>
        <v>0</v>
      </c>
      <c r="AO50" s="4">
        <f t="shared" si="62"/>
        <v>301.07600000000002</v>
      </c>
      <c r="AP50" s="4">
        <f t="shared" si="63"/>
        <v>8</v>
      </c>
      <c r="AQ50" s="4">
        <f t="shared" si="64"/>
        <v>16</v>
      </c>
      <c r="AR50" s="4">
        <f t="shared" si="65"/>
        <v>0</v>
      </c>
      <c r="AS50" s="4">
        <f t="shared" si="66"/>
        <v>300.995</v>
      </c>
      <c r="AT50" s="4">
        <f t="shared" si="67"/>
        <v>8</v>
      </c>
      <c r="AU50" s="4">
        <f t="shared" si="68"/>
        <v>16</v>
      </c>
      <c r="AV50" s="4">
        <f t="shared" si="69"/>
        <v>0</v>
      </c>
      <c r="AW50" s="4">
        <f t="shared" si="70"/>
        <v>300.94299999999998</v>
      </c>
      <c r="AX50" s="4">
        <f t="shared" si="71"/>
        <v>8</v>
      </c>
      <c r="AY50" s="4">
        <f t="shared" si="72"/>
        <v>16</v>
      </c>
      <c r="AZ50" s="4">
        <f t="shared" si="73"/>
        <v>0</v>
      </c>
      <c r="BA50" s="4">
        <f t="shared" si="74"/>
        <v>300.85500000000002</v>
      </c>
      <c r="BB50" s="4">
        <f t="shared" si="75"/>
        <v>8</v>
      </c>
      <c r="BC50" s="4">
        <f t="shared" si="76"/>
        <v>16</v>
      </c>
      <c r="BD50" s="4">
        <f t="shared" si="77"/>
        <v>0</v>
      </c>
      <c r="BE50" s="4">
        <f t="shared" si="78"/>
        <v>301.06700000000001</v>
      </c>
      <c r="BF50" s="4">
        <f t="shared" si="79"/>
        <v>8</v>
      </c>
      <c r="BG50" s="4">
        <f t="shared" si="80"/>
        <v>16</v>
      </c>
      <c r="BH50" s="4">
        <f t="shared" si="81"/>
        <v>0</v>
      </c>
      <c r="BI50" s="4">
        <f t="shared" si="82"/>
        <v>301.00700000000001</v>
      </c>
      <c r="BJ50" s="4">
        <f t="shared" si="83"/>
        <v>8</v>
      </c>
      <c r="BK50" s="4">
        <f t="shared" si="84"/>
        <v>16</v>
      </c>
      <c r="BL50" s="4">
        <f t="shared" si="85"/>
        <v>0</v>
      </c>
      <c r="BM50" s="4">
        <f t="shared" si="86"/>
        <v>301.16000000000003</v>
      </c>
    </row>
    <row r="51" spans="1:65" x14ac:dyDescent="0.25">
      <c r="A51" s="2" t="s">
        <v>11</v>
      </c>
      <c r="B51" s="1">
        <v>205</v>
      </c>
      <c r="C51" s="1">
        <v>1920</v>
      </c>
      <c r="D51" s="1">
        <v>7</v>
      </c>
      <c r="E51" s="1">
        <v>13</v>
      </c>
      <c r="F51" s="2">
        <v>1</v>
      </c>
      <c r="H51" s="2">
        <v>8</v>
      </c>
      <c r="I51" s="2">
        <v>16</v>
      </c>
      <c r="J51" s="2">
        <v>0</v>
      </c>
      <c r="K51" s="2">
        <v>301.14499999999998</v>
      </c>
      <c r="M51" s="7">
        <f t="shared" si="39"/>
        <v>0</v>
      </c>
      <c r="N51" s="7">
        <f t="shared" si="40"/>
        <v>0</v>
      </c>
      <c r="O51" s="7">
        <f t="shared" si="41"/>
        <v>0</v>
      </c>
      <c r="P51" s="5">
        <f t="shared" si="42"/>
        <v>8</v>
      </c>
      <c r="Q51" s="5">
        <f t="shared" si="88"/>
        <v>8</v>
      </c>
      <c r="R51" s="5">
        <f t="shared" si="89"/>
        <v>16</v>
      </c>
      <c r="S51" s="5">
        <f t="shared" si="90"/>
        <v>16</v>
      </c>
      <c r="T51" s="5">
        <f t="shared" si="43"/>
        <v>14.285714285714286</v>
      </c>
      <c r="U51" s="5">
        <f t="shared" si="44"/>
        <v>14.285714285714286</v>
      </c>
      <c r="V51" s="5">
        <f t="shared" si="45"/>
        <v>23.076923076923077</v>
      </c>
      <c r="W51" s="5">
        <f t="shared" si="46"/>
        <v>23.076923076923077</v>
      </c>
      <c r="X51" s="5">
        <f t="shared" si="91"/>
        <v>300.82339999999999</v>
      </c>
      <c r="Z51" s="1">
        <f t="shared" si="87"/>
        <v>8</v>
      </c>
      <c r="AA51" s="1">
        <f t="shared" si="48"/>
        <v>16</v>
      </c>
      <c r="AB51" s="1">
        <f t="shared" si="49"/>
        <v>0</v>
      </c>
      <c r="AC51" s="1">
        <f t="shared" si="50"/>
        <v>301.14499999999998</v>
      </c>
      <c r="AD51" s="4">
        <f t="shared" si="51"/>
        <v>8</v>
      </c>
      <c r="AE51" s="4">
        <f t="shared" si="52"/>
        <v>16</v>
      </c>
      <c r="AF51" s="4">
        <f t="shared" si="53"/>
        <v>0</v>
      </c>
      <c r="AG51" s="4">
        <f t="shared" si="54"/>
        <v>300.846</v>
      </c>
      <c r="AH51" s="4">
        <f t="shared" si="55"/>
        <v>8</v>
      </c>
      <c r="AI51" s="4">
        <f t="shared" si="56"/>
        <v>16</v>
      </c>
      <c r="AJ51" s="4">
        <f t="shared" si="57"/>
        <v>0</v>
      </c>
      <c r="AK51" s="4">
        <f t="shared" si="58"/>
        <v>300.77999999999997</v>
      </c>
      <c r="AL51" s="4">
        <f t="shared" si="59"/>
        <v>8</v>
      </c>
      <c r="AM51" s="4">
        <f t="shared" si="60"/>
        <v>16</v>
      </c>
      <c r="AN51" s="4">
        <f t="shared" si="61"/>
        <v>0</v>
      </c>
      <c r="AO51" s="4">
        <f t="shared" si="62"/>
        <v>300.80399999999997</v>
      </c>
      <c r="AP51" s="4">
        <f t="shared" si="63"/>
        <v>8</v>
      </c>
      <c r="AQ51" s="4">
        <f t="shared" si="64"/>
        <v>16</v>
      </c>
      <c r="AR51" s="4">
        <f t="shared" si="65"/>
        <v>0</v>
      </c>
      <c r="AS51" s="4">
        <f t="shared" si="66"/>
        <v>300.57499999999999</v>
      </c>
      <c r="AT51" s="4">
        <f t="shared" si="67"/>
        <v>8</v>
      </c>
      <c r="AU51" s="4">
        <f t="shared" si="68"/>
        <v>16</v>
      </c>
      <c r="AV51" s="4">
        <f t="shared" si="69"/>
        <v>0</v>
      </c>
      <c r="AW51" s="4">
        <f t="shared" si="70"/>
        <v>300.702</v>
      </c>
      <c r="AX51" s="4">
        <f t="shared" si="71"/>
        <v>8</v>
      </c>
      <c r="AY51" s="4">
        <f t="shared" si="72"/>
        <v>16</v>
      </c>
      <c r="AZ51" s="4">
        <f t="shared" si="73"/>
        <v>0</v>
      </c>
      <c r="BA51" s="4">
        <f t="shared" si="74"/>
        <v>300.68900000000002</v>
      </c>
      <c r="BB51" s="4">
        <f t="shared" si="75"/>
        <v>8</v>
      </c>
      <c r="BC51" s="4">
        <f t="shared" si="76"/>
        <v>16</v>
      </c>
      <c r="BD51" s="4">
        <f t="shared" si="77"/>
        <v>0</v>
      </c>
      <c r="BE51" s="4">
        <f t="shared" si="78"/>
        <v>300.88400000000001</v>
      </c>
      <c r="BF51" s="4">
        <f t="shared" si="79"/>
        <v>8</v>
      </c>
      <c r="BG51" s="4">
        <f t="shared" si="80"/>
        <v>16</v>
      </c>
      <c r="BH51" s="4">
        <f t="shared" si="81"/>
        <v>0</v>
      </c>
      <c r="BI51" s="4">
        <f t="shared" si="82"/>
        <v>301.00900000000001</v>
      </c>
      <c r="BJ51" s="4">
        <f t="shared" si="83"/>
        <v>8</v>
      </c>
      <c r="BK51" s="4">
        <f t="shared" si="84"/>
        <v>16</v>
      </c>
      <c r="BL51" s="4">
        <f t="shared" si="85"/>
        <v>0</v>
      </c>
      <c r="BM51" s="4">
        <f t="shared" si="86"/>
        <v>300.8</v>
      </c>
    </row>
    <row r="52" spans="1:65" x14ac:dyDescent="0.25">
      <c r="A52" s="2" t="s">
        <v>11</v>
      </c>
      <c r="B52" s="1">
        <v>205</v>
      </c>
      <c r="C52" s="1">
        <v>2077</v>
      </c>
      <c r="D52" s="1">
        <v>6</v>
      </c>
      <c r="E52" s="1">
        <v>12</v>
      </c>
      <c r="F52" s="2">
        <v>1</v>
      </c>
      <c r="H52" s="2">
        <v>7</v>
      </c>
      <c r="I52" s="2">
        <v>14</v>
      </c>
      <c r="J52" s="2">
        <v>0</v>
      </c>
      <c r="K52" s="2">
        <v>300.99299999999999</v>
      </c>
      <c r="M52" s="7">
        <f t="shared" si="39"/>
        <v>0</v>
      </c>
      <c r="N52" s="7">
        <f t="shared" si="40"/>
        <v>0</v>
      </c>
      <c r="O52" s="7">
        <f t="shared" si="41"/>
        <v>0</v>
      </c>
      <c r="P52" s="5">
        <f t="shared" si="42"/>
        <v>7</v>
      </c>
      <c r="Q52" s="5">
        <f t="shared" si="88"/>
        <v>7</v>
      </c>
      <c r="R52" s="5">
        <f t="shared" si="89"/>
        <v>14</v>
      </c>
      <c r="S52" s="5">
        <f t="shared" si="90"/>
        <v>14</v>
      </c>
      <c r="T52" s="5">
        <f t="shared" si="43"/>
        <v>16.666666666666668</v>
      </c>
      <c r="U52" s="5">
        <f t="shared" si="44"/>
        <v>16.666666666666668</v>
      </c>
      <c r="V52" s="5">
        <f t="shared" si="45"/>
        <v>16.666666666666668</v>
      </c>
      <c r="W52" s="5">
        <f t="shared" si="46"/>
        <v>16.666666666666668</v>
      </c>
      <c r="X52" s="5">
        <f t="shared" si="91"/>
        <v>300.93310000000002</v>
      </c>
      <c r="Z52" s="1">
        <f t="shared" si="87"/>
        <v>7</v>
      </c>
      <c r="AA52" s="1">
        <f t="shared" si="48"/>
        <v>14</v>
      </c>
      <c r="AB52" s="1">
        <f t="shared" si="49"/>
        <v>0</v>
      </c>
      <c r="AC52" s="1">
        <f t="shared" si="50"/>
        <v>300.99299999999999</v>
      </c>
      <c r="AD52" s="4">
        <f t="shared" si="51"/>
        <v>7</v>
      </c>
      <c r="AE52" s="4">
        <f t="shared" si="52"/>
        <v>14</v>
      </c>
      <c r="AF52" s="4">
        <f t="shared" si="53"/>
        <v>0</v>
      </c>
      <c r="AG52" s="4">
        <f t="shared" si="54"/>
        <v>301.06900000000002</v>
      </c>
      <c r="AH52" s="4">
        <f t="shared" si="55"/>
        <v>7</v>
      </c>
      <c r="AI52" s="4">
        <f t="shared" si="56"/>
        <v>14</v>
      </c>
      <c r="AJ52" s="4">
        <f t="shared" si="57"/>
        <v>0</v>
      </c>
      <c r="AK52" s="4">
        <f t="shared" si="58"/>
        <v>301.11099999999999</v>
      </c>
      <c r="AL52" s="4">
        <f t="shared" si="59"/>
        <v>7</v>
      </c>
      <c r="AM52" s="4">
        <f t="shared" si="60"/>
        <v>14</v>
      </c>
      <c r="AN52" s="4">
        <f t="shared" si="61"/>
        <v>0</v>
      </c>
      <c r="AO52" s="4">
        <f t="shared" si="62"/>
        <v>300.86700000000002</v>
      </c>
      <c r="AP52" s="4">
        <f t="shared" si="63"/>
        <v>7</v>
      </c>
      <c r="AQ52" s="4">
        <f t="shared" si="64"/>
        <v>14</v>
      </c>
      <c r="AR52" s="4">
        <f t="shared" si="65"/>
        <v>0</v>
      </c>
      <c r="AS52" s="4">
        <f t="shared" si="66"/>
        <v>300.66399999999999</v>
      </c>
      <c r="AT52" s="4">
        <f t="shared" si="67"/>
        <v>7</v>
      </c>
      <c r="AU52" s="4">
        <f t="shared" si="68"/>
        <v>14</v>
      </c>
      <c r="AV52" s="4">
        <f t="shared" si="69"/>
        <v>0</v>
      </c>
      <c r="AW52" s="4">
        <f t="shared" si="70"/>
        <v>301.04599999999999</v>
      </c>
      <c r="AX52" s="4">
        <f t="shared" si="71"/>
        <v>7</v>
      </c>
      <c r="AY52" s="4">
        <f t="shared" si="72"/>
        <v>14</v>
      </c>
      <c r="AZ52" s="4">
        <f t="shared" si="73"/>
        <v>0</v>
      </c>
      <c r="BA52" s="4">
        <f t="shared" si="74"/>
        <v>301.18299999999999</v>
      </c>
      <c r="BB52" s="4">
        <f t="shared" si="75"/>
        <v>7</v>
      </c>
      <c r="BC52" s="4">
        <f t="shared" si="76"/>
        <v>14</v>
      </c>
      <c r="BD52" s="4">
        <f t="shared" si="77"/>
        <v>0</v>
      </c>
      <c r="BE52" s="4">
        <f t="shared" si="78"/>
        <v>300.82</v>
      </c>
      <c r="BF52" s="4">
        <f t="shared" si="79"/>
        <v>7</v>
      </c>
      <c r="BG52" s="4">
        <f t="shared" si="80"/>
        <v>14</v>
      </c>
      <c r="BH52" s="4">
        <f t="shared" si="81"/>
        <v>0</v>
      </c>
      <c r="BI52" s="4">
        <f t="shared" si="82"/>
        <v>300.709</v>
      </c>
      <c r="BJ52" s="4">
        <f t="shared" si="83"/>
        <v>7</v>
      </c>
      <c r="BK52" s="4">
        <f t="shared" si="84"/>
        <v>14</v>
      </c>
      <c r="BL52" s="4">
        <f t="shared" si="85"/>
        <v>0</v>
      </c>
      <c r="BM52" s="4">
        <f t="shared" si="86"/>
        <v>300.86900000000003</v>
      </c>
    </row>
    <row r="53" spans="1:65" x14ac:dyDescent="0.25">
      <c r="A53" s="2" t="s">
        <v>11</v>
      </c>
      <c r="B53" s="1">
        <v>205</v>
      </c>
      <c r="C53" s="1">
        <v>2100</v>
      </c>
      <c r="D53" s="1">
        <v>6</v>
      </c>
      <c r="E53" s="1">
        <v>12</v>
      </c>
      <c r="F53" s="2">
        <v>1</v>
      </c>
      <c r="H53" s="2">
        <v>8</v>
      </c>
      <c r="I53" s="2">
        <v>15</v>
      </c>
      <c r="J53" s="2">
        <v>0</v>
      </c>
      <c r="K53" s="2">
        <v>300.68</v>
      </c>
      <c r="M53" s="7">
        <f t="shared" si="39"/>
        <v>0</v>
      </c>
      <c r="N53" s="7">
        <f t="shared" si="40"/>
        <v>0</v>
      </c>
      <c r="O53" s="7">
        <f t="shared" si="41"/>
        <v>0</v>
      </c>
      <c r="P53" s="5">
        <f t="shared" si="42"/>
        <v>8</v>
      </c>
      <c r="Q53" s="5">
        <f t="shared" si="88"/>
        <v>8</v>
      </c>
      <c r="R53" s="5">
        <f t="shared" si="89"/>
        <v>15</v>
      </c>
      <c r="S53" s="5">
        <f t="shared" si="90"/>
        <v>15</v>
      </c>
      <c r="T53" s="5">
        <f t="shared" si="43"/>
        <v>33.333333333333336</v>
      </c>
      <c r="U53" s="5">
        <f t="shared" si="44"/>
        <v>33.333333333333336</v>
      </c>
      <c r="V53" s="5">
        <f t="shared" si="45"/>
        <v>25</v>
      </c>
      <c r="W53" s="5">
        <f t="shared" si="46"/>
        <v>25</v>
      </c>
      <c r="X53" s="5">
        <f t="shared" si="91"/>
        <v>300.91589999999997</v>
      </c>
      <c r="Z53" s="1">
        <f t="shared" si="87"/>
        <v>8</v>
      </c>
      <c r="AA53" s="1">
        <f t="shared" si="48"/>
        <v>15</v>
      </c>
      <c r="AB53" s="1">
        <f t="shared" si="49"/>
        <v>0</v>
      </c>
      <c r="AC53" s="1">
        <f t="shared" si="50"/>
        <v>300.68</v>
      </c>
      <c r="AD53" s="4">
        <f t="shared" si="51"/>
        <v>8</v>
      </c>
      <c r="AE53" s="4">
        <f t="shared" si="52"/>
        <v>15</v>
      </c>
      <c r="AF53" s="4">
        <f t="shared" si="53"/>
        <v>0</v>
      </c>
      <c r="AG53" s="4">
        <f t="shared" si="54"/>
        <v>301.101</v>
      </c>
      <c r="AH53" s="4">
        <f t="shared" si="55"/>
        <v>8</v>
      </c>
      <c r="AI53" s="4">
        <f t="shared" si="56"/>
        <v>15</v>
      </c>
      <c r="AJ53" s="4">
        <f t="shared" si="57"/>
        <v>0</v>
      </c>
      <c r="AK53" s="4">
        <f t="shared" si="58"/>
        <v>300.85599999999999</v>
      </c>
      <c r="AL53" s="4">
        <f t="shared" si="59"/>
        <v>8</v>
      </c>
      <c r="AM53" s="4">
        <f t="shared" si="60"/>
        <v>15</v>
      </c>
      <c r="AN53" s="4">
        <f t="shared" si="61"/>
        <v>0</v>
      </c>
      <c r="AO53" s="4">
        <f t="shared" si="62"/>
        <v>300.88900000000001</v>
      </c>
      <c r="AP53" s="4">
        <f t="shared" si="63"/>
        <v>8</v>
      </c>
      <c r="AQ53" s="4">
        <f t="shared" si="64"/>
        <v>15</v>
      </c>
      <c r="AR53" s="4">
        <f t="shared" si="65"/>
        <v>0</v>
      </c>
      <c r="AS53" s="4">
        <f t="shared" si="66"/>
        <v>300.94</v>
      </c>
      <c r="AT53" s="4">
        <f t="shared" si="67"/>
        <v>8</v>
      </c>
      <c r="AU53" s="4">
        <f t="shared" si="68"/>
        <v>15</v>
      </c>
      <c r="AV53" s="4">
        <f t="shared" si="69"/>
        <v>0</v>
      </c>
      <c r="AW53" s="4">
        <f t="shared" si="70"/>
        <v>300.916</v>
      </c>
      <c r="AX53" s="4">
        <f t="shared" si="71"/>
        <v>8</v>
      </c>
      <c r="AY53" s="4">
        <f t="shared" si="72"/>
        <v>15</v>
      </c>
      <c r="AZ53" s="4">
        <f t="shared" si="73"/>
        <v>0</v>
      </c>
      <c r="BA53" s="4">
        <f t="shared" si="74"/>
        <v>300.93200000000002</v>
      </c>
      <c r="BB53" s="4">
        <f t="shared" si="75"/>
        <v>8</v>
      </c>
      <c r="BC53" s="4">
        <f t="shared" si="76"/>
        <v>15</v>
      </c>
      <c r="BD53" s="4">
        <f t="shared" si="77"/>
        <v>0</v>
      </c>
      <c r="BE53" s="4">
        <f t="shared" si="78"/>
        <v>301.13</v>
      </c>
      <c r="BF53" s="4">
        <f t="shared" si="79"/>
        <v>8</v>
      </c>
      <c r="BG53" s="4">
        <f t="shared" si="80"/>
        <v>15</v>
      </c>
      <c r="BH53" s="4">
        <f t="shared" si="81"/>
        <v>0</v>
      </c>
      <c r="BI53" s="4">
        <f t="shared" si="82"/>
        <v>300.85000000000002</v>
      </c>
      <c r="BJ53" s="4">
        <f t="shared" si="83"/>
        <v>8</v>
      </c>
      <c r="BK53" s="4">
        <f t="shared" si="84"/>
        <v>15</v>
      </c>
      <c r="BL53" s="4">
        <f t="shared" si="85"/>
        <v>0</v>
      </c>
      <c r="BM53" s="4">
        <f t="shared" si="86"/>
        <v>300.86500000000001</v>
      </c>
    </row>
    <row r="54" spans="1:65" x14ac:dyDescent="0.25">
      <c r="A54" s="2" t="s">
        <v>11</v>
      </c>
      <c r="B54" s="1">
        <v>205</v>
      </c>
      <c r="C54" s="1">
        <v>2266</v>
      </c>
      <c r="D54" s="1">
        <v>6</v>
      </c>
      <c r="E54" s="1">
        <v>11</v>
      </c>
      <c r="F54" s="2">
        <v>1</v>
      </c>
      <c r="H54" s="2">
        <v>7</v>
      </c>
      <c r="I54" s="2">
        <v>14</v>
      </c>
      <c r="J54" s="2">
        <v>0</v>
      </c>
      <c r="K54" s="2">
        <v>301.322</v>
      </c>
      <c r="M54" s="7">
        <f t="shared" si="39"/>
        <v>0</v>
      </c>
      <c r="N54" s="7">
        <f t="shared" si="40"/>
        <v>0</v>
      </c>
      <c r="O54" s="7">
        <f t="shared" si="41"/>
        <v>0</v>
      </c>
      <c r="P54" s="5">
        <f t="shared" si="42"/>
        <v>7</v>
      </c>
      <c r="Q54" s="5">
        <f t="shared" si="88"/>
        <v>7</v>
      </c>
      <c r="R54" s="5">
        <f t="shared" si="89"/>
        <v>14</v>
      </c>
      <c r="S54" s="5">
        <f t="shared" si="90"/>
        <v>14</v>
      </c>
      <c r="T54" s="5">
        <f t="shared" si="43"/>
        <v>16.666666666666668</v>
      </c>
      <c r="U54" s="5">
        <f t="shared" si="44"/>
        <v>16.666666666666668</v>
      </c>
      <c r="V54" s="5">
        <f t="shared" si="45"/>
        <v>27.272727272727273</v>
      </c>
      <c r="W54" s="5">
        <f t="shared" si="46"/>
        <v>27.272727272727273</v>
      </c>
      <c r="X54" s="5">
        <f t="shared" si="91"/>
        <v>300.92529999999999</v>
      </c>
      <c r="Z54" s="1">
        <f t="shared" si="87"/>
        <v>7</v>
      </c>
      <c r="AA54" s="1">
        <f t="shared" si="48"/>
        <v>14</v>
      </c>
      <c r="AB54" s="1">
        <f t="shared" si="49"/>
        <v>0</v>
      </c>
      <c r="AC54" s="1">
        <f t="shared" si="50"/>
        <v>301.322</v>
      </c>
      <c r="AD54" s="4">
        <f t="shared" si="51"/>
        <v>7</v>
      </c>
      <c r="AE54" s="4">
        <f t="shared" si="52"/>
        <v>14</v>
      </c>
      <c r="AF54" s="4">
        <f t="shared" si="53"/>
        <v>0</v>
      </c>
      <c r="AG54" s="4">
        <f t="shared" si="54"/>
        <v>301.53100000000001</v>
      </c>
      <c r="AH54" s="4">
        <f t="shared" si="55"/>
        <v>7</v>
      </c>
      <c r="AI54" s="4">
        <f t="shared" si="56"/>
        <v>14</v>
      </c>
      <c r="AJ54" s="4">
        <f t="shared" si="57"/>
        <v>0</v>
      </c>
      <c r="AK54" s="4">
        <f t="shared" si="58"/>
        <v>300.80099999999999</v>
      </c>
      <c r="AL54" s="4">
        <f t="shared" si="59"/>
        <v>7</v>
      </c>
      <c r="AM54" s="4">
        <f t="shared" si="60"/>
        <v>14</v>
      </c>
      <c r="AN54" s="4">
        <f t="shared" si="61"/>
        <v>0</v>
      </c>
      <c r="AO54" s="4">
        <f t="shared" si="62"/>
        <v>300.56599999999997</v>
      </c>
      <c r="AP54" s="4">
        <f t="shared" si="63"/>
        <v>7</v>
      </c>
      <c r="AQ54" s="4">
        <f t="shared" si="64"/>
        <v>14</v>
      </c>
      <c r="AR54" s="4">
        <f t="shared" si="65"/>
        <v>0</v>
      </c>
      <c r="AS54" s="4">
        <f t="shared" si="66"/>
        <v>300.77199999999999</v>
      </c>
      <c r="AT54" s="4">
        <f t="shared" si="67"/>
        <v>7</v>
      </c>
      <c r="AU54" s="4">
        <f t="shared" si="68"/>
        <v>14</v>
      </c>
      <c r="AV54" s="4">
        <f t="shared" si="69"/>
        <v>0</v>
      </c>
      <c r="AW54" s="4">
        <f t="shared" si="70"/>
        <v>300.76600000000002</v>
      </c>
      <c r="AX54" s="4">
        <f t="shared" si="71"/>
        <v>7</v>
      </c>
      <c r="AY54" s="4">
        <f t="shared" si="72"/>
        <v>14</v>
      </c>
      <c r="AZ54" s="4">
        <f t="shared" si="73"/>
        <v>0</v>
      </c>
      <c r="BA54" s="4">
        <f t="shared" si="74"/>
        <v>300.61399999999998</v>
      </c>
      <c r="BB54" s="4">
        <f t="shared" si="75"/>
        <v>7</v>
      </c>
      <c r="BC54" s="4">
        <f t="shared" si="76"/>
        <v>14</v>
      </c>
      <c r="BD54" s="4">
        <f t="shared" si="77"/>
        <v>0</v>
      </c>
      <c r="BE54" s="4">
        <f t="shared" si="78"/>
        <v>301.17500000000001</v>
      </c>
      <c r="BF54" s="4">
        <f t="shared" si="79"/>
        <v>7</v>
      </c>
      <c r="BG54" s="4">
        <f t="shared" si="80"/>
        <v>14</v>
      </c>
      <c r="BH54" s="4">
        <f t="shared" si="81"/>
        <v>0</v>
      </c>
      <c r="BI54" s="4">
        <f t="shared" si="82"/>
        <v>300.69600000000003</v>
      </c>
      <c r="BJ54" s="4">
        <f t="shared" si="83"/>
        <v>7</v>
      </c>
      <c r="BK54" s="4">
        <f t="shared" si="84"/>
        <v>14</v>
      </c>
      <c r="BL54" s="4">
        <f t="shared" si="85"/>
        <v>0</v>
      </c>
      <c r="BM54" s="4">
        <f t="shared" si="86"/>
        <v>301.01</v>
      </c>
    </row>
    <row r="55" spans="1:65" x14ac:dyDescent="0.25">
      <c r="A55" s="2" t="s">
        <v>11</v>
      </c>
      <c r="B55" s="1">
        <v>205</v>
      </c>
      <c r="C55" s="1">
        <v>2300</v>
      </c>
      <c r="D55" s="1">
        <v>6</v>
      </c>
      <c r="E55" s="1">
        <v>11</v>
      </c>
      <c r="F55" s="2">
        <v>1</v>
      </c>
      <c r="H55" s="2">
        <v>7</v>
      </c>
      <c r="I55" s="2">
        <v>14</v>
      </c>
      <c r="J55" s="2">
        <v>0</v>
      </c>
      <c r="K55" s="2">
        <v>300.911</v>
      </c>
      <c r="M55" s="7">
        <f t="shared" si="39"/>
        <v>0</v>
      </c>
      <c r="N55" s="7">
        <f t="shared" si="40"/>
        <v>0</v>
      </c>
      <c r="O55" s="7">
        <f t="shared" si="41"/>
        <v>0</v>
      </c>
      <c r="P55" s="5">
        <f t="shared" si="42"/>
        <v>7</v>
      </c>
      <c r="Q55" s="5">
        <f t="shared" si="88"/>
        <v>7</v>
      </c>
      <c r="R55" s="5">
        <f t="shared" si="89"/>
        <v>14</v>
      </c>
      <c r="S55" s="5">
        <f t="shared" si="90"/>
        <v>14</v>
      </c>
      <c r="T55" s="5">
        <f t="shared" si="43"/>
        <v>16.666666666666668</v>
      </c>
      <c r="U55" s="5">
        <f t="shared" si="44"/>
        <v>16.666666666666668</v>
      </c>
      <c r="V55" s="5">
        <f t="shared" si="45"/>
        <v>27.272727272727273</v>
      </c>
      <c r="W55" s="5">
        <f t="shared" si="46"/>
        <v>27.272727272727273</v>
      </c>
      <c r="X55" s="5">
        <f t="shared" si="91"/>
        <v>300.93690000000004</v>
      </c>
      <c r="Z55" s="1">
        <f t="shared" si="87"/>
        <v>7</v>
      </c>
      <c r="AA55" s="1">
        <f t="shared" si="48"/>
        <v>14</v>
      </c>
      <c r="AB55" s="1">
        <f t="shared" si="49"/>
        <v>0</v>
      </c>
      <c r="AC55" s="1">
        <f t="shared" si="50"/>
        <v>300.911</v>
      </c>
      <c r="AD55" s="4">
        <f t="shared" si="51"/>
        <v>7</v>
      </c>
      <c r="AE55" s="4">
        <f t="shared" si="52"/>
        <v>14</v>
      </c>
      <c r="AF55" s="4">
        <f t="shared" si="53"/>
        <v>0</v>
      </c>
      <c r="AG55" s="4">
        <f t="shared" si="54"/>
        <v>300.78500000000003</v>
      </c>
      <c r="AH55" s="4">
        <f t="shared" si="55"/>
        <v>7</v>
      </c>
      <c r="AI55" s="4">
        <f t="shared" si="56"/>
        <v>14</v>
      </c>
      <c r="AJ55" s="4">
        <f t="shared" si="57"/>
        <v>0</v>
      </c>
      <c r="AK55" s="4">
        <f t="shared" si="58"/>
        <v>301.05900000000003</v>
      </c>
      <c r="AL55" s="4">
        <f t="shared" si="59"/>
        <v>7</v>
      </c>
      <c r="AM55" s="4">
        <f t="shared" si="60"/>
        <v>14</v>
      </c>
      <c r="AN55" s="4">
        <f t="shared" si="61"/>
        <v>0</v>
      </c>
      <c r="AO55" s="4">
        <f t="shared" si="62"/>
        <v>300.96499999999997</v>
      </c>
      <c r="AP55" s="4">
        <f t="shared" si="63"/>
        <v>7</v>
      </c>
      <c r="AQ55" s="4">
        <f t="shared" si="64"/>
        <v>14</v>
      </c>
      <c r="AR55" s="4">
        <f t="shared" si="65"/>
        <v>0</v>
      </c>
      <c r="AS55" s="4">
        <f t="shared" si="66"/>
        <v>301.149</v>
      </c>
      <c r="AT55" s="4">
        <f t="shared" si="67"/>
        <v>7</v>
      </c>
      <c r="AU55" s="4">
        <f t="shared" si="68"/>
        <v>14</v>
      </c>
      <c r="AV55" s="4">
        <f t="shared" si="69"/>
        <v>0</v>
      </c>
      <c r="AW55" s="4">
        <f t="shared" si="70"/>
        <v>301.29000000000002</v>
      </c>
      <c r="AX55" s="4">
        <f t="shared" si="71"/>
        <v>7</v>
      </c>
      <c r="AY55" s="4">
        <f t="shared" si="72"/>
        <v>14</v>
      </c>
      <c r="AZ55" s="4">
        <f t="shared" si="73"/>
        <v>0</v>
      </c>
      <c r="BA55" s="4">
        <f t="shared" si="74"/>
        <v>300.95699999999999</v>
      </c>
      <c r="BB55" s="4">
        <f t="shared" si="75"/>
        <v>7</v>
      </c>
      <c r="BC55" s="4">
        <f t="shared" si="76"/>
        <v>14</v>
      </c>
      <c r="BD55" s="4">
        <f t="shared" si="77"/>
        <v>0</v>
      </c>
      <c r="BE55" s="4">
        <f t="shared" si="78"/>
        <v>300.63499999999999</v>
      </c>
      <c r="BF55" s="4">
        <f t="shared" si="79"/>
        <v>7</v>
      </c>
      <c r="BG55" s="4">
        <f t="shared" si="80"/>
        <v>14</v>
      </c>
      <c r="BH55" s="4">
        <f t="shared" si="81"/>
        <v>0</v>
      </c>
      <c r="BI55" s="4">
        <f t="shared" si="82"/>
        <v>300.92700000000002</v>
      </c>
      <c r="BJ55" s="4">
        <f t="shared" si="83"/>
        <v>7</v>
      </c>
      <c r="BK55" s="4">
        <f t="shared" si="84"/>
        <v>14</v>
      </c>
      <c r="BL55" s="4">
        <f t="shared" si="85"/>
        <v>0</v>
      </c>
      <c r="BM55" s="4">
        <f t="shared" si="86"/>
        <v>300.69099999999997</v>
      </c>
    </row>
    <row r="56" spans="1:65" x14ac:dyDescent="0.25">
      <c r="A56" s="2" t="s">
        <v>11</v>
      </c>
      <c r="B56" s="1">
        <v>205</v>
      </c>
      <c r="C56" s="1">
        <v>2454</v>
      </c>
      <c r="D56" s="1">
        <v>5</v>
      </c>
      <c r="E56" s="1">
        <v>10</v>
      </c>
      <c r="F56" s="2">
        <v>1</v>
      </c>
      <c r="H56" s="2">
        <v>6</v>
      </c>
      <c r="I56" s="2">
        <v>12</v>
      </c>
      <c r="J56" s="2">
        <v>0</v>
      </c>
      <c r="K56" s="2">
        <v>300.69200000000001</v>
      </c>
      <c r="M56" s="7">
        <f t="shared" si="39"/>
        <v>0</v>
      </c>
      <c r="N56" s="7">
        <f t="shared" si="40"/>
        <v>0</v>
      </c>
      <c r="O56" s="7">
        <f t="shared" si="41"/>
        <v>0</v>
      </c>
      <c r="P56" s="5">
        <f t="shared" si="42"/>
        <v>6</v>
      </c>
      <c r="Q56" s="5">
        <f t="shared" si="88"/>
        <v>6</v>
      </c>
      <c r="R56" s="5">
        <f t="shared" si="89"/>
        <v>12</v>
      </c>
      <c r="S56" s="5">
        <f t="shared" si="90"/>
        <v>12</v>
      </c>
      <c r="T56" s="5">
        <f t="shared" si="43"/>
        <v>20</v>
      </c>
      <c r="U56" s="5">
        <f t="shared" si="44"/>
        <v>20</v>
      </c>
      <c r="V56" s="5">
        <f t="shared" si="45"/>
        <v>20</v>
      </c>
      <c r="W56" s="5">
        <f t="shared" si="46"/>
        <v>20</v>
      </c>
      <c r="X56" s="5">
        <f t="shared" si="91"/>
        <v>301.04180000000002</v>
      </c>
      <c r="Z56" s="1">
        <f t="shared" si="87"/>
        <v>6</v>
      </c>
      <c r="AA56" s="1">
        <f t="shared" si="48"/>
        <v>12</v>
      </c>
      <c r="AB56" s="1">
        <f t="shared" si="49"/>
        <v>0</v>
      </c>
      <c r="AC56" s="1">
        <f t="shared" si="50"/>
        <v>300.69200000000001</v>
      </c>
      <c r="AD56" s="4">
        <f t="shared" si="51"/>
        <v>6</v>
      </c>
      <c r="AE56" s="4">
        <f t="shared" si="52"/>
        <v>12</v>
      </c>
      <c r="AF56" s="4">
        <f t="shared" si="53"/>
        <v>0</v>
      </c>
      <c r="AG56" s="4">
        <f t="shared" si="54"/>
        <v>301.10000000000002</v>
      </c>
      <c r="AH56" s="4">
        <f t="shared" si="55"/>
        <v>6</v>
      </c>
      <c r="AI56" s="4">
        <f t="shared" si="56"/>
        <v>12</v>
      </c>
      <c r="AJ56" s="4">
        <f t="shared" si="57"/>
        <v>0</v>
      </c>
      <c r="AK56" s="4">
        <f t="shared" si="58"/>
        <v>300.98399999999998</v>
      </c>
      <c r="AL56" s="4">
        <f t="shared" si="59"/>
        <v>6</v>
      </c>
      <c r="AM56" s="4">
        <f t="shared" si="60"/>
        <v>12</v>
      </c>
      <c r="AN56" s="4">
        <f t="shared" si="61"/>
        <v>0</v>
      </c>
      <c r="AO56" s="4">
        <f t="shared" si="62"/>
        <v>300.87799999999999</v>
      </c>
      <c r="AP56" s="4">
        <f t="shared" si="63"/>
        <v>6</v>
      </c>
      <c r="AQ56" s="4">
        <f t="shared" si="64"/>
        <v>12</v>
      </c>
      <c r="AR56" s="4">
        <f t="shared" si="65"/>
        <v>0</v>
      </c>
      <c r="AS56" s="4">
        <f t="shared" si="66"/>
        <v>300.85399999999998</v>
      </c>
      <c r="AT56" s="4">
        <f t="shared" si="67"/>
        <v>6</v>
      </c>
      <c r="AU56" s="4">
        <f t="shared" si="68"/>
        <v>12</v>
      </c>
      <c r="AV56" s="4">
        <f t="shared" si="69"/>
        <v>0</v>
      </c>
      <c r="AW56" s="4">
        <f t="shared" si="70"/>
        <v>301.11900000000003</v>
      </c>
      <c r="AX56" s="4">
        <f t="shared" si="71"/>
        <v>6</v>
      </c>
      <c r="AY56" s="4">
        <f t="shared" si="72"/>
        <v>12</v>
      </c>
      <c r="AZ56" s="4">
        <f t="shared" si="73"/>
        <v>0</v>
      </c>
      <c r="BA56" s="4">
        <f t="shared" si="74"/>
        <v>301.32600000000002</v>
      </c>
      <c r="BB56" s="4">
        <f t="shared" si="75"/>
        <v>6</v>
      </c>
      <c r="BC56" s="4">
        <f t="shared" si="76"/>
        <v>12</v>
      </c>
      <c r="BD56" s="4">
        <f t="shared" si="77"/>
        <v>0</v>
      </c>
      <c r="BE56" s="4">
        <f t="shared" si="78"/>
        <v>300.96300000000002</v>
      </c>
      <c r="BF56" s="4">
        <f t="shared" si="79"/>
        <v>6</v>
      </c>
      <c r="BG56" s="4">
        <f t="shared" si="80"/>
        <v>12</v>
      </c>
      <c r="BH56" s="4">
        <f t="shared" si="81"/>
        <v>0</v>
      </c>
      <c r="BI56" s="4">
        <f t="shared" si="82"/>
        <v>301.255</v>
      </c>
      <c r="BJ56" s="4">
        <f t="shared" si="83"/>
        <v>6</v>
      </c>
      <c r="BK56" s="4">
        <f t="shared" si="84"/>
        <v>12</v>
      </c>
      <c r="BL56" s="4">
        <f t="shared" si="85"/>
        <v>0</v>
      </c>
      <c r="BM56" s="4">
        <f t="shared" si="86"/>
        <v>301.24700000000001</v>
      </c>
    </row>
    <row r="57" spans="1:65" x14ac:dyDescent="0.25">
      <c r="A57" s="2" t="s">
        <v>11</v>
      </c>
      <c r="B57" s="1">
        <v>205</v>
      </c>
      <c r="C57" s="1">
        <v>2500</v>
      </c>
      <c r="D57" s="1">
        <v>5</v>
      </c>
      <c r="E57" s="1">
        <v>10</v>
      </c>
      <c r="F57" s="2">
        <v>1</v>
      </c>
      <c r="H57" s="2">
        <v>6</v>
      </c>
      <c r="I57" s="2">
        <v>12</v>
      </c>
      <c r="J57" s="2">
        <v>0</v>
      </c>
      <c r="K57" s="2">
        <v>300.875</v>
      </c>
      <c r="M57" s="7">
        <f t="shared" si="39"/>
        <v>0</v>
      </c>
      <c r="N57" s="7">
        <f t="shared" si="40"/>
        <v>0</v>
      </c>
      <c r="O57" s="7">
        <f t="shared" si="41"/>
        <v>0</v>
      </c>
      <c r="P57" s="5">
        <f t="shared" si="42"/>
        <v>6</v>
      </c>
      <c r="Q57" s="5">
        <f t="shared" si="88"/>
        <v>6</v>
      </c>
      <c r="R57" s="5">
        <f t="shared" si="89"/>
        <v>12</v>
      </c>
      <c r="S57" s="5">
        <f t="shared" si="90"/>
        <v>12</v>
      </c>
      <c r="T57" s="5">
        <f t="shared" si="43"/>
        <v>20</v>
      </c>
      <c r="U57" s="5">
        <f t="shared" si="44"/>
        <v>20</v>
      </c>
      <c r="V57" s="5">
        <f t="shared" si="45"/>
        <v>20</v>
      </c>
      <c r="W57" s="5">
        <f t="shared" si="46"/>
        <v>20</v>
      </c>
      <c r="X57" s="5">
        <f t="shared" si="91"/>
        <v>301.02660000000003</v>
      </c>
      <c r="Z57" s="1">
        <f t="shared" si="87"/>
        <v>6</v>
      </c>
      <c r="AA57" s="1">
        <f t="shared" si="48"/>
        <v>12</v>
      </c>
      <c r="AB57" s="1">
        <f t="shared" si="49"/>
        <v>0</v>
      </c>
      <c r="AC57" s="1">
        <f t="shared" si="50"/>
        <v>300.875</v>
      </c>
      <c r="AD57" s="4">
        <f t="shared" si="51"/>
        <v>6</v>
      </c>
      <c r="AE57" s="4">
        <f t="shared" si="52"/>
        <v>12</v>
      </c>
      <c r="AF57" s="4">
        <f t="shared" si="53"/>
        <v>0</v>
      </c>
      <c r="AG57" s="4">
        <f t="shared" si="54"/>
        <v>301.14299999999997</v>
      </c>
      <c r="AH57" s="4">
        <f t="shared" si="55"/>
        <v>6</v>
      </c>
      <c r="AI57" s="4">
        <f t="shared" si="56"/>
        <v>12</v>
      </c>
      <c r="AJ57" s="4">
        <f t="shared" si="57"/>
        <v>0</v>
      </c>
      <c r="AK57" s="4">
        <f t="shared" si="58"/>
        <v>300.678</v>
      </c>
      <c r="AL57" s="4">
        <f t="shared" si="59"/>
        <v>6</v>
      </c>
      <c r="AM57" s="4">
        <f t="shared" si="60"/>
        <v>12</v>
      </c>
      <c r="AN57" s="4">
        <f t="shared" si="61"/>
        <v>0</v>
      </c>
      <c r="AO57" s="4">
        <f t="shared" si="62"/>
        <v>301.19900000000001</v>
      </c>
      <c r="AP57" s="4">
        <f t="shared" si="63"/>
        <v>6</v>
      </c>
      <c r="AQ57" s="4">
        <f t="shared" si="64"/>
        <v>12</v>
      </c>
      <c r="AR57" s="4">
        <f t="shared" si="65"/>
        <v>0</v>
      </c>
      <c r="AS57" s="4">
        <f t="shared" si="66"/>
        <v>300.67399999999998</v>
      </c>
      <c r="AT57" s="4">
        <f t="shared" si="67"/>
        <v>6</v>
      </c>
      <c r="AU57" s="4">
        <f t="shared" si="68"/>
        <v>12</v>
      </c>
      <c r="AV57" s="4">
        <f t="shared" si="69"/>
        <v>0</v>
      </c>
      <c r="AW57" s="4">
        <f t="shared" si="70"/>
        <v>301.05900000000003</v>
      </c>
      <c r="AX57" s="4">
        <f t="shared" si="71"/>
        <v>6</v>
      </c>
      <c r="AY57" s="4">
        <f t="shared" si="72"/>
        <v>12</v>
      </c>
      <c r="AZ57" s="4">
        <f t="shared" si="73"/>
        <v>0</v>
      </c>
      <c r="BA57" s="4">
        <f t="shared" si="74"/>
        <v>301.096</v>
      </c>
      <c r="BB57" s="4">
        <f t="shared" si="75"/>
        <v>6</v>
      </c>
      <c r="BC57" s="4">
        <f t="shared" si="76"/>
        <v>12</v>
      </c>
      <c r="BD57" s="4">
        <f t="shared" si="77"/>
        <v>0</v>
      </c>
      <c r="BE57" s="4">
        <f t="shared" si="78"/>
        <v>301.197</v>
      </c>
      <c r="BF57" s="4">
        <f t="shared" si="79"/>
        <v>6</v>
      </c>
      <c r="BG57" s="4">
        <f t="shared" si="80"/>
        <v>12</v>
      </c>
      <c r="BH57" s="4">
        <f t="shared" si="81"/>
        <v>0</v>
      </c>
      <c r="BI57" s="4">
        <f t="shared" si="82"/>
        <v>301.16199999999998</v>
      </c>
      <c r="BJ57" s="4">
        <f t="shared" si="83"/>
        <v>6</v>
      </c>
      <c r="BK57" s="4">
        <f t="shared" si="84"/>
        <v>12</v>
      </c>
      <c r="BL57" s="4">
        <f t="shared" si="85"/>
        <v>0</v>
      </c>
      <c r="BM57" s="4">
        <f t="shared" si="86"/>
        <v>301.18299999999999</v>
      </c>
    </row>
    <row r="58" spans="1:65" x14ac:dyDescent="0.25">
      <c r="A58" s="2" t="s">
        <v>11</v>
      </c>
      <c r="B58" s="1">
        <v>205</v>
      </c>
      <c r="C58" s="1">
        <v>2643</v>
      </c>
      <c r="D58" s="1">
        <v>5</v>
      </c>
      <c r="E58" s="1">
        <v>9</v>
      </c>
      <c r="F58" s="2">
        <v>1</v>
      </c>
      <c r="H58" s="2">
        <v>6</v>
      </c>
      <c r="I58" s="2">
        <v>12</v>
      </c>
      <c r="J58" s="2">
        <v>0</v>
      </c>
      <c r="K58" s="2">
        <v>301.178</v>
      </c>
      <c r="M58" s="7">
        <f t="shared" si="39"/>
        <v>0</v>
      </c>
      <c r="N58" s="7">
        <f t="shared" si="40"/>
        <v>0</v>
      </c>
      <c r="O58" s="7">
        <f t="shared" si="41"/>
        <v>0</v>
      </c>
      <c r="P58" s="5">
        <f t="shared" si="42"/>
        <v>6</v>
      </c>
      <c r="Q58" s="5">
        <f t="shared" si="88"/>
        <v>6</v>
      </c>
      <c r="R58" s="5">
        <f t="shared" si="89"/>
        <v>12</v>
      </c>
      <c r="S58" s="5">
        <f t="shared" si="90"/>
        <v>12</v>
      </c>
      <c r="T58" s="5">
        <f t="shared" si="43"/>
        <v>20</v>
      </c>
      <c r="U58" s="5">
        <f t="shared" si="44"/>
        <v>20</v>
      </c>
      <c r="V58" s="5">
        <f t="shared" si="45"/>
        <v>33.333333333333336</v>
      </c>
      <c r="W58" s="5">
        <f t="shared" si="46"/>
        <v>33.333333333333336</v>
      </c>
      <c r="X58" s="5">
        <f t="shared" si="91"/>
        <v>300.88440000000003</v>
      </c>
      <c r="Z58" s="1">
        <f t="shared" si="87"/>
        <v>6</v>
      </c>
      <c r="AA58" s="1">
        <f t="shared" si="48"/>
        <v>12</v>
      </c>
      <c r="AB58" s="1">
        <f t="shared" si="49"/>
        <v>0</v>
      </c>
      <c r="AC58" s="1">
        <f t="shared" si="50"/>
        <v>301.178</v>
      </c>
      <c r="AD58" s="4">
        <f t="shared" si="51"/>
        <v>6</v>
      </c>
      <c r="AE58" s="4">
        <f t="shared" si="52"/>
        <v>12</v>
      </c>
      <c r="AF58" s="4">
        <f t="shared" si="53"/>
        <v>0</v>
      </c>
      <c r="AG58" s="4">
        <f t="shared" si="54"/>
        <v>300.92599999999999</v>
      </c>
      <c r="AH58" s="4">
        <f t="shared" si="55"/>
        <v>6</v>
      </c>
      <c r="AI58" s="4">
        <f t="shared" si="56"/>
        <v>12</v>
      </c>
      <c r="AJ58" s="4">
        <f t="shared" si="57"/>
        <v>0</v>
      </c>
      <c r="AK58" s="4">
        <f t="shared" si="58"/>
        <v>301.21699999999998</v>
      </c>
      <c r="AL58" s="4">
        <f t="shared" si="59"/>
        <v>6</v>
      </c>
      <c r="AM58" s="4">
        <f t="shared" si="60"/>
        <v>12</v>
      </c>
      <c r="AN58" s="4">
        <f t="shared" si="61"/>
        <v>0</v>
      </c>
      <c r="AO58" s="4">
        <f t="shared" si="62"/>
        <v>300.72399999999999</v>
      </c>
      <c r="AP58" s="4">
        <f t="shared" si="63"/>
        <v>6</v>
      </c>
      <c r="AQ58" s="4">
        <f t="shared" si="64"/>
        <v>12</v>
      </c>
      <c r="AR58" s="4">
        <f t="shared" si="65"/>
        <v>0</v>
      </c>
      <c r="AS58" s="4">
        <f t="shared" si="66"/>
        <v>301.04700000000003</v>
      </c>
      <c r="AT58" s="4">
        <f t="shared" si="67"/>
        <v>6</v>
      </c>
      <c r="AU58" s="4">
        <f t="shared" si="68"/>
        <v>12</v>
      </c>
      <c r="AV58" s="4">
        <f t="shared" si="69"/>
        <v>0</v>
      </c>
      <c r="AW58" s="4">
        <f t="shared" si="70"/>
        <v>300.83600000000001</v>
      </c>
      <c r="AX58" s="4">
        <f t="shared" si="71"/>
        <v>6</v>
      </c>
      <c r="AY58" s="4">
        <f t="shared" si="72"/>
        <v>12</v>
      </c>
      <c r="AZ58" s="4">
        <f t="shared" si="73"/>
        <v>0</v>
      </c>
      <c r="BA58" s="4">
        <f t="shared" si="74"/>
        <v>300.89100000000002</v>
      </c>
      <c r="BB58" s="4">
        <f t="shared" si="75"/>
        <v>6</v>
      </c>
      <c r="BC58" s="4">
        <f t="shared" si="76"/>
        <v>12</v>
      </c>
      <c r="BD58" s="4">
        <f t="shared" si="77"/>
        <v>0</v>
      </c>
      <c r="BE58" s="4">
        <f t="shared" si="78"/>
        <v>300.70600000000002</v>
      </c>
      <c r="BF58" s="4">
        <f t="shared" si="79"/>
        <v>6</v>
      </c>
      <c r="BG58" s="4">
        <f t="shared" si="80"/>
        <v>12</v>
      </c>
      <c r="BH58" s="4">
        <f t="shared" si="81"/>
        <v>0</v>
      </c>
      <c r="BI58" s="4">
        <f t="shared" si="82"/>
        <v>300.63200000000001</v>
      </c>
      <c r="BJ58" s="4">
        <f t="shared" si="83"/>
        <v>6</v>
      </c>
      <c r="BK58" s="4">
        <f t="shared" si="84"/>
        <v>12</v>
      </c>
      <c r="BL58" s="4">
        <f t="shared" si="85"/>
        <v>0</v>
      </c>
      <c r="BM58" s="4">
        <f t="shared" si="86"/>
        <v>300.68700000000001</v>
      </c>
    </row>
    <row r="59" spans="1:65" x14ac:dyDescent="0.25">
      <c r="A59" s="2" t="s">
        <v>11</v>
      </c>
      <c r="B59" s="1">
        <v>205</v>
      </c>
      <c r="C59" s="1">
        <v>2800</v>
      </c>
      <c r="D59" s="1">
        <v>5</v>
      </c>
      <c r="E59" s="1">
        <v>9</v>
      </c>
      <c r="F59" s="2">
        <v>1</v>
      </c>
      <c r="H59" s="2">
        <v>6</v>
      </c>
      <c r="I59" s="2">
        <v>12</v>
      </c>
      <c r="J59" s="2">
        <v>0</v>
      </c>
      <c r="K59" s="2">
        <v>300.85599999999999</v>
      </c>
      <c r="M59" s="7">
        <f t="shared" si="39"/>
        <v>0</v>
      </c>
      <c r="N59" s="7">
        <f t="shared" si="40"/>
        <v>0</v>
      </c>
      <c r="O59" s="7">
        <f t="shared" si="41"/>
        <v>0</v>
      </c>
      <c r="P59" s="5">
        <f t="shared" si="42"/>
        <v>6</v>
      </c>
      <c r="Q59" s="5">
        <f t="shared" si="88"/>
        <v>6</v>
      </c>
      <c r="R59" s="5">
        <f t="shared" si="89"/>
        <v>12</v>
      </c>
      <c r="S59" s="5">
        <f t="shared" si="90"/>
        <v>12</v>
      </c>
      <c r="T59" s="5">
        <f t="shared" si="43"/>
        <v>20</v>
      </c>
      <c r="U59" s="5">
        <f t="shared" si="44"/>
        <v>20</v>
      </c>
      <c r="V59" s="5">
        <f t="shared" si="45"/>
        <v>33.333333333333336</v>
      </c>
      <c r="W59" s="5">
        <f t="shared" si="46"/>
        <v>33.333333333333336</v>
      </c>
      <c r="X59" s="5">
        <f t="shared" si="91"/>
        <v>300.98829999999998</v>
      </c>
      <c r="Z59" s="1">
        <f t="shared" si="87"/>
        <v>6</v>
      </c>
      <c r="AA59" s="1">
        <f t="shared" si="48"/>
        <v>12</v>
      </c>
      <c r="AB59" s="1">
        <f t="shared" si="49"/>
        <v>0</v>
      </c>
      <c r="AC59" s="1">
        <f t="shared" si="50"/>
        <v>300.85599999999999</v>
      </c>
      <c r="AD59" s="4">
        <f t="shared" si="51"/>
        <v>6</v>
      </c>
      <c r="AE59" s="4">
        <f t="shared" si="52"/>
        <v>12</v>
      </c>
      <c r="AF59" s="4">
        <f t="shared" si="53"/>
        <v>0</v>
      </c>
      <c r="AG59" s="4">
        <f t="shared" si="54"/>
        <v>300.91800000000001</v>
      </c>
      <c r="AH59" s="4">
        <f t="shared" si="55"/>
        <v>6</v>
      </c>
      <c r="AI59" s="4">
        <f t="shared" si="56"/>
        <v>12</v>
      </c>
      <c r="AJ59" s="4">
        <f t="shared" si="57"/>
        <v>0</v>
      </c>
      <c r="AK59" s="4">
        <f t="shared" si="58"/>
        <v>300.87799999999999</v>
      </c>
      <c r="AL59" s="4">
        <f t="shared" si="59"/>
        <v>6</v>
      </c>
      <c r="AM59" s="4">
        <f t="shared" si="60"/>
        <v>12</v>
      </c>
      <c r="AN59" s="4">
        <f t="shared" si="61"/>
        <v>0</v>
      </c>
      <c r="AO59" s="4">
        <f t="shared" si="62"/>
        <v>300.84100000000001</v>
      </c>
      <c r="AP59" s="4">
        <f t="shared" si="63"/>
        <v>6</v>
      </c>
      <c r="AQ59" s="4">
        <f t="shared" si="64"/>
        <v>12</v>
      </c>
      <c r="AR59" s="4">
        <f t="shared" si="65"/>
        <v>0</v>
      </c>
      <c r="AS59" s="4">
        <f t="shared" si="66"/>
        <v>301.06099999999998</v>
      </c>
      <c r="AT59" s="4">
        <f t="shared" si="67"/>
        <v>6</v>
      </c>
      <c r="AU59" s="4">
        <f t="shared" si="68"/>
        <v>12</v>
      </c>
      <c r="AV59" s="4">
        <f t="shared" si="69"/>
        <v>0</v>
      </c>
      <c r="AW59" s="4">
        <f t="shared" si="70"/>
        <v>300.851</v>
      </c>
      <c r="AX59" s="4">
        <f t="shared" si="71"/>
        <v>6</v>
      </c>
      <c r="AY59" s="4">
        <f t="shared" si="72"/>
        <v>12</v>
      </c>
      <c r="AZ59" s="4">
        <f t="shared" si="73"/>
        <v>0</v>
      </c>
      <c r="BA59" s="4">
        <f t="shared" si="74"/>
        <v>301.20100000000002</v>
      </c>
      <c r="BB59" s="4">
        <f t="shared" si="75"/>
        <v>6</v>
      </c>
      <c r="BC59" s="4">
        <f t="shared" si="76"/>
        <v>12</v>
      </c>
      <c r="BD59" s="4">
        <f t="shared" si="77"/>
        <v>0</v>
      </c>
      <c r="BE59" s="4">
        <f t="shared" si="78"/>
        <v>301.14699999999999</v>
      </c>
      <c r="BF59" s="4">
        <f t="shared" si="79"/>
        <v>6</v>
      </c>
      <c r="BG59" s="4">
        <f t="shared" si="80"/>
        <v>12</v>
      </c>
      <c r="BH59" s="4">
        <f t="shared" si="81"/>
        <v>0</v>
      </c>
      <c r="BI59" s="4">
        <f t="shared" si="82"/>
        <v>301.16800000000001</v>
      </c>
      <c r="BJ59" s="4">
        <f t="shared" si="83"/>
        <v>6</v>
      </c>
      <c r="BK59" s="4">
        <f t="shared" si="84"/>
        <v>12</v>
      </c>
      <c r="BL59" s="4">
        <f t="shared" si="85"/>
        <v>0</v>
      </c>
      <c r="BM59" s="4">
        <f t="shared" si="86"/>
        <v>300.96199999999999</v>
      </c>
    </row>
    <row r="60" spans="1:65" x14ac:dyDescent="0.25">
      <c r="A60" s="2" t="s">
        <v>11</v>
      </c>
      <c r="B60" s="1">
        <v>205</v>
      </c>
      <c r="C60" s="1">
        <v>2832</v>
      </c>
      <c r="D60" s="1">
        <v>5</v>
      </c>
      <c r="E60" s="1">
        <v>9</v>
      </c>
      <c r="F60" s="2">
        <v>1</v>
      </c>
      <c r="H60" s="2">
        <v>6</v>
      </c>
      <c r="I60" s="2">
        <v>12</v>
      </c>
      <c r="J60" s="2">
        <v>0</v>
      </c>
      <c r="K60" s="2">
        <v>300.839</v>
      </c>
      <c r="M60" s="7">
        <f t="shared" si="39"/>
        <v>0</v>
      </c>
      <c r="N60" s="7">
        <f t="shared" si="40"/>
        <v>0</v>
      </c>
      <c r="O60" s="7">
        <f t="shared" si="41"/>
        <v>0</v>
      </c>
      <c r="P60" s="5">
        <f t="shared" si="42"/>
        <v>6</v>
      </c>
      <c r="Q60" s="5">
        <f t="shared" si="88"/>
        <v>6</v>
      </c>
      <c r="R60" s="5">
        <f t="shared" si="89"/>
        <v>12</v>
      </c>
      <c r="S60" s="5">
        <f t="shared" si="90"/>
        <v>12</v>
      </c>
      <c r="T60" s="5">
        <f t="shared" si="43"/>
        <v>20</v>
      </c>
      <c r="U60" s="5">
        <f t="shared" si="44"/>
        <v>20</v>
      </c>
      <c r="V60" s="5">
        <f t="shared" si="45"/>
        <v>33.333333333333336</v>
      </c>
      <c r="W60" s="5">
        <f t="shared" si="46"/>
        <v>33.333333333333336</v>
      </c>
      <c r="X60" s="5">
        <f t="shared" si="91"/>
        <v>300.87670000000008</v>
      </c>
      <c r="Z60" s="1">
        <f t="shared" si="87"/>
        <v>6</v>
      </c>
      <c r="AA60" s="1">
        <f t="shared" si="48"/>
        <v>12</v>
      </c>
      <c r="AB60" s="1">
        <f t="shared" si="49"/>
        <v>0</v>
      </c>
      <c r="AC60" s="1">
        <f t="shared" si="50"/>
        <v>300.839</v>
      </c>
      <c r="AD60" s="4">
        <f t="shared" si="51"/>
        <v>6</v>
      </c>
      <c r="AE60" s="4">
        <f t="shared" si="52"/>
        <v>12</v>
      </c>
      <c r="AF60" s="4">
        <f t="shared" si="53"/>
        <v>0</v>
      </c>
      <c r="AG60" s="4">
        <f t="shared" si="54"/>
        <v>300.947</v>
      </c>
      <c r="AH60" s="4">
        <f t="shared" si="55"/>
        <v>6</v>
      </c>
      <c r="AI60" s="4">
        <f t="shared" si="56"/>
        <v>12</v>
      </c>
      <c r="AJ60" s="4">
        <f t="shared" si="57"/>
        <v>0</v>
      </c>
      <c r="AK60" s="4">
        <f t="shared" si="58"/>
        <v>301.096</v>
      </c>
      <c r="AL60" s="4">
        <f t="shared" si="59"/>
        <v>6</v>
      </c>
      <c r="AM60" s="4">
        <f t="shared" si="60"/>
        <v>12</v>
      </c>
      <c r="AN60" s="4">
        <f t="shared" si="61"/>
        <v>0</v>
      </c>
      <c r="AO60" s="4">
        <f t="shared" si="62"/>
        <v>301.11799999999999</v>
      </c>
      <c r="AP60" s="4">
        <f t="shared" si="63"/>
        <v>6</v>
      </c>
      <c r="AQ60" s="4">
        <f t="shared" si="64"/>
        <v>12</v>
      </c>
      <c r="AR60" s="4">
        <f t="shared" si="65"/>
        <v>0</v>
      </c>
      <c r="AS60" s="4">
        <f t="shared" si="66"/>
        <v>300.65600000000001</v>
      </c>
      <c r="AT60" s="4">
        <f t="shared" si="67"/>
        <v>6</v>
      </c>
      <c r="AU60" s="4">
        <f t="shared" si="68"/>
        <v>12</v>
      </c>
      <c r="AV60" s="4">
        <f t="shared" si="69"/>
        <v>0</v>
      </c>
      <c r="AW60" s="4">
        <f t="shared" si="70"/>
        <v>300.76799999999997</v>
      </c>
      <c r="AX60" s="4">
        <f t="shared" si="71"/>
        <v>6</v>
      </c>
      <c r="AY60" s="4">
        <f t="shared" si="72"/>
        <v>12</v>
      </c>
      <c r="AZ60" s="4">
        <f t="shared" si="73"/>
        <v>0</v>
      </c>
      <c r="BA60" s="4">
        <f t="shared" si="74"/>
        <v>300.52800000000002</v>
      </c>
      <c r="BB60" s="4">
        <f t="shared" si="75"/>
        <v>6</v>
      </c>
      <c r="BC60" s="4">
        <f t="shared" si="76"/>
        <v>12</v>
      </c>
      <c r="BD60" s="4">
        <f t="shared" si="77"/>
        <v>0</v>
      </c>
      <c r="BE60" s="4">
        <f t="shared" si="78"/>
        <v>300.70600000000002</v>
      </c>
      <c r="BF60" s="4">
        <f t="shared" si="79"/>
        <v>6</v>
      </c>
      <c r="BG60" s="4">
        <f t="shared" si="80"/>
        <v>12</v>
      </c>
      <c r="BH60" s="4">
        <f t="shared" si="81"/>
        <v>0</v>
      </c>
      <c r="BI60" s="4">
        <f t="shared" si="82"/>
        <v>301.262</v>
      </c>
      <c r="BJ60" s="4">
        <f t="shared" si="83"/>
        <v>6</v>
      </c>
      <c r="BK60" s="4">
        <f t="shared" si="84"/>
        <v>12</v>
      </c>
      <c r="BL60" s="4">
        <f t="shared" si="85"/>
        <v>0</v>
      </c>
      <c r="BM60" s="4">
        <f t="shared" si="86"/>
        <v>300.84699999999998</v>
      </c>
    </row>
    <row r="61" spans="1:65" x14ac:dyDescent="0.25">
      <c r="A61" s="1" t="str">
        <f t="shared" ref="A61:E61" si="92">A2</f>
        <v>P9</v>
      </c>
      <c r="B61" s="1">
        <f t="shared" si="92"/>
        <v>9</v>
      </c>
      <c r="C61" s="1">
        <f t="shared" si="92"/>
        <v>3</v>
      </c>
      <c r="D61" s="1">
        <f t="shared" si="92"/>
        <v>3</v>
      </c>
      <c r="E61" s="1">
        <f t="shared" si="92"/>
        <v>6</v>
      </c>
      <c r="F61" s="2">
        <f>F2+1</f>
        <v>2</v>
      </c>
      <c r="H61" s="2">
        <v>3</v>
      </c>
      <c r="I61" s="2">
        <v>6</v>
      </c>
      <c r="J61" s="2">
        <v>1</v>
      </c>
      <c r="K61" s="2">
        <v>2E-3</v>
      </c>
      <c r="M61" s="7">
        <f t="shared" si="39"/>
        <v>1</v>
      </c>
    </row>
    <row r="62" spans="1:65" x14ac:dyDescent="0.25">
      <c r="A62" s="1" t="str">
        <f t="shared" ref="A62:E62" si="93">A3</f>
        <v>P9</v>
      </c>
      <c r="B62" s="1">
        <f t="shared" si="93"/>
        <v>9</v>
      </c>
      <c r="C62" s="1">
        <f t="shared" si="93"/>
        <v>4</v>
      </c>
      <c r="D62" s="1">
        <f t="shared" si="93"/>
        <v>3</v>
      </c>
      <c r="E62" s="1">
        <f t="shared" si="93"/>
        <v>5</v>
      </c>
      <c r="F62" s="2">
        <f t="shared" ref="F62:F125" si="94">F3+1</f>
        <v>2</v>
      </c>
      <c r="H62" s="2">
        <v>3</v>
      </c>
      <c r="I62" s="2">
        <v>5</v>
      </c>
      <c r="J62" s="2">
        <v>1</v>
      </c>
      <c r="K62" s="2">
        <v>2E-3</v>
      </c>
      <c r="M62" s="7">
        <f t="shared" si="39"/>
        <v>1</v>
      </c>
      <c r="N62" s="8">
        <f>SUM(N2:N60)</f>
        <v>33</v>
      </c>
      <c r="O62" s="8">
        <f>SUM(O2:O60)</f>
        <v>33</v>
      </c>
      <c r="P62" s="8"/>
      <c r="Q62" s="8"/>
      <c r="R62" s="8"/>
      <c r="S62" s="8"/>
      <c r="T62" s="8">
        <f>AVERAGE(T2:T60)</f>
        <v>6.6046853334988924</v>
      </c>
      <c r="U62" s="8">
        <f t="shared" ref="U62:W62" si="95">AVERAGE(U2:U60)</f>
        <v>6.6046853334988924</v>
      </c>
      <c r="V62" s="8">
        <f t="shared" si="95"/>
        <v>6.2207342633170404</v>
      </c>
      <c r="W62" s="8">
        <f t="shared" si="95"/>
        <v>6.2207342633170404</v>
      </c>
      <c r="X62" s="8">
        <f>AVERAGE(X2:X60)</f>
        <v>136.63286101694916</v>
      </c>
      <c r="Y62" s="7"/>
    </row>
    <row r="63" spans="1:65" x14ac:dyDescent="0.25">
      <c r="A63" s="1" t="str">
        <f t="shared" ref="A63:E63" si="96">A4</f>
        <v>P9</v>
      </c>
      <c r="B63" s="1">
        <f t="shared" si="96"/>
        <v>9</v>
      </c>
      <c r="C63" s="1">
        <f t="shared" si="96"/>
        <v>5</v>
      </c>
      <c r="D63" s="1">
        <f t="shared" si="96"/>
        <v>2</v>
      </c>
      <c r="E63" s="1">
        <f t="shared" si="96"/>
        <v>4</v>
      </c>
      <c r="F63" s="2">
        <f t="shared" si="94"/>
        <v>2</v>
      </c>
      <c r="H63" s="2">
        <v>2</v>
      </c>
      <c r="I63" s="2">
        <v>4</v>
      </c>
      <c r="J63" s="2">
        <v>1</v>
      </c>
      <c r="K63" s="2">
        <v>2E-3</v>
      </c>
      <c r="M63" s="7">
        <f t="shared" si="39"/>
        <v>1</v>
      </c>
    </row>
    <row r="64" spans="1:65" x14ac:dyDescent="0.25">
      <c r="A64" s="1" t="str">
        <f t="shared" ref="A64:E64" si="97">A5</f>
        <v>P9</v>
      </c>
      <c r="B64" s="1">
        <f t="shared" si="97"/>
        <v>9</v>
      </c>
      <c r="C64" s="1">
        <f t="shared" si="97"/>
        <v>6</v>
      </c>
      <c r="D64" s="1">
        <f t="shared" si="97"/>
        <v>2</v>
      </c>
      <c r="E64" s="1">
        <f t="shared" si="97"/>
        <v>3</v>
      </c>
      <c r="F64" s="2">
        <f t="shared" si="94"/>
        <v>2</v>
      </c>
      <c r="H64" s="2">
        <v>2</v>
      </c>
      <c r="I64" s="2">
        <v>3</v>
      </c>
      <c r="J64" s="2">
        <v>1</v>
      </c>
      <c r="K64" s="2">
        <v>2E-3</v>
      </c>
      <c r="M64" s="7">
        <f t="shared" si="39"/>
        <v>1</v>
      </c>
    </row>
    <row r="65" spans="1:13" x14ac:dyDescent="0.25">
      <c r="A65" s="1" t="str">
        <f t="shared" ref="A65:E65" si="98">A6</f>
        <v>P9</v>
      </c>
      <c r="B65" s="1">
        <f t="shared" si="98"/>
        <v>9</v>
      </c>
      <c r="C65" s="1">
        <f t="shared" si="98"/>
        <v>7</v>
      </c>
      <c r="D65" s="1">
        <f t="shared" si="98"/>
        <v>2</v>
      </c>
      <c r="E65" s="1">
        <f t="shared" si="98"/>
        <v>3</v>
      </c>
      <c r="F65" s="2">
        <f t="shared" si="94"/>
        <v>2</v>
      </c>
      <c r="H65" s="2">
        <v>2</v>
      </c>
      <c r="I65" s="2">
        <v>3</v>
      </c>
      <c r="J65" s="2">
        <v>1</v>
      </c>
      <c r="K65" s="2">
        <v>3.0000000000000001E-3</v>
      </c>
      <c r="M65" s="7">
        <f t="shared" si="39"/>
        <v>1</v>
      </c>
    </row>
    <row r="66" spans="1:13" x14ac:dyDescent="0.25">
      <c r="A66" s="1" t="str">
        <f t="shared" ref="A66:E66" si="99">A7</f>
        <v>P12</v>
      </c>
      <c r="B66" s="1">
        <f t="shared" si="99"/>
        <v>12</v>
      </c>
      <c r="C66" s="1">
        <f t="shared" si="99"/>
        <v>4</v>
      </c>
      <c r="D66" s="1">
        <f t="shared" si="99"/>
        <v>4</v>
      </c>
      <c r="E66" s="1">
        <f t="shared" si="99"/>
        <v>7</v>
      </c>
      <c r="F66" s="2">
        <f t="shared" si="94"/>
        <v>2</v>
      </c>
      <c r="H66" s="2">
        <v>4</v>
      </c>
      <c r="I66" s="2">
        <v>7</v>
      </c>
      <c r="J66" s="2">
        <v>1</v>
      </c>
      <c r="K66" s="2">
        <v>1E-3</v>
      </c>
      <c r="M66" s="7">
        <f t="shared" si="39"/>
        <v>1</v>
      </c>
    </row>
    <row r="67" spans="1:13" x14ac:dyDescent="0.25">
      <c r="A67" s="1" t="str">
        <f t="shared" ref="A67:E67" si="100">A8</f>
        <v>P12</v>
      </c>
      <c r="B67" s="1">
        <f t="shared" si="100"/>
        <v>12</v>
      </c>
      <c r="C67" s="1">
        <f t="shared" si="100"/>
        <v>5</v>
      </c>
      <c r="D67" s="1">
        <f t="shared" si="100"/>
        <v>3</v>
      </c>
      <c r="E67" s="1">
        <f t="shared" si="100"/>
        <v>6</v>
      </c>
      <c r="F67" s="2">
        <f t="shared" si="94"/>
        <v>2</v>
      </c>
      <c r="H67" s="2">
        <v>3</v>
      </c>
      <c r="I67" s="2">
        <v>6</v>
      </c>
      <c r="J67" s="2">
        <v>1</v>
      </c>
      <c r="K67" s="2">
        <v>0.67</v>
      </c>
      <c r="M67" s="7">
        <f t="shared" ref="M67:M130" si="101">IF(D67*100+E67=H67*100+I67,1,0)</f>
        <v>1</v>
      </c>
    </row>
    <row r="68" spans="1:13" x14ac:dyDescent="0.25">
      <c r="A68" s="1" t="str">
        <f t="shared" ref="A68:E68" si="102">A9</f>
        <v>P12</v>
      </c>
      <c r="B68" s="1">
        <f t="shared" si="102"/>
        <v>12</v>
      </c>
      <c r="C68" s="1">
        <f t="shared" si="102"/>
        <v>6</v>
      </c>
      <c r="D68" s="1">
        <f t="shared" si="102"/>
        <v>3</v>
      </c>
      <c r="E68" s="1">
        <f t="shared" si="102"/>
        <v>5</v>
      </c>
      <c r="F68" s="2">
        <f t="shared" si="94"/>
        <v>2</v>
      </c>
      <c r="H68" s="2">
        <v>3</v>
      </c>
      <c r="I68" s="2">
        <v>5</v>
      </c>
      <c r="J68" s="2">
        <v>1</v>
      </c>
      <c r="K68" s="2">
        <v>2E-3</v>
      </c>
      <c r="M68" s="7">
        <f t="shared" si="101"/>
        <v>1</v>
      </c>
    </row>
    <row r="69" spans="1:13" x14ac:dyDescent="0.25">
      <c r="A69" s="1" t="str">
        <f t="shared" ref="A69:E69" si="103">A10</f>
        <v>P12</v>
      </c>
      <c r="B69" s="1">
        <f t="shared" si="103"/>
        <v>12</v>
      </c>
      <c r="C69" s="1">
        <f t="shared" si="103"/>
        <v>7</v>
      </c>
      <c r="D69" s="1">
        <f t="shared" si="103"/>
        <v>2</v>
      </c>
      <c r="E69" s="1">
        <f t="shared" si="103"/>
        <v>4</v>
      </c>
      <c r="F69" s="2">
        <f t="shared" si="94"/>
        <v>2</v>
      </c>
      <c r="H69" s="2">
        <v>2</v>
      </c>
      <c r="I69" s="2">
        <v>4</v>
      </c>
      <c r="J69" s="2">
        <v>1</v>
      </c>
      <c r="K69" s="2">
        <v>2E-3</v>
      </c>
      <c r="M69" s="7">
        <f t="shared" si="101"/>
        <v>1</v>
      </c>
    </row>
    <row r="70" spans="1:13" x14ac:dyDescent="0.25">
      <c r="A70" s="1" t="str">
        <f t="shared" ref="A70:E70" si="104">A11</f>
        <v>P12</v>
      </c>
      <c r="B70" s="1">
        <f t="shared" si="104"/>
        <v>12</v>
      </c>
      <c r="C70" s="1">
        <f t="shared" si="104"/>
        <v>8</v>
      </c>
      <c r="D70" s="1">
        <f t="shared" si="104"/>
        <v>2</v>
      </c>
      <c r="E70" s="1">
        <f t="shared" si="104"/>
        <v>4</v>
      </c>
      <c r="F70" s="2">
        <f t="shared" si="94"/>
        <v>2</v>
      </c>
      <c r="H70" s="2">
        <v>2</v>
      </c>
      <c r="I70" s="2">
        <v>4</v>
      </c>
      <c r="J70" s="2">
        <v>1</v>
      </c>
      <c r="K70" s="2">
        <v>4.0000000000000001E-3</v>
      </c>
      <c r="M70" s="7">
        <f t="shared" si="101"/>
        <v>1</v>
      </c>
    </row>
    <row r="71" spans="1:13" x14ac:dyDescent="0.25">
      <c r="A71" s="1" t="str">
        <f t="shared" ref="A71:E71" si="105">A12</f>
        <v>P12</v>
      </c>
      <c r="B71" s="1">
        <f t="shared" si="105"/>
        <v>12</v>
      </c>
      <c r="C71" s="1">
        <f t="shared" si="105"/>
        <v>9</v>
      </c>
      <c r="D71" s="1">
        <f t="shared" si="105"/>
        <v>2</v>
      </c>
      <c r="E71" s="1">
        <f t="shared" si="105"/>
        <v>3</v>
      </c>
      <c r="F71" s="2">
        <f t="shared" si="94"/>
        <v>2</v>
      </c>
      <c r="H71" s="2">
        <v>2</v>
      </c>
      <c r="I71" s="2">
        <v>3</v>
      </c>
      <c r="J71" s="2">
        <v>1</v>
      </c>
      <c r="K71" s="2">
        <v>6.0000000000000001E-3</v>
      </c>
      <c r="M71" s="7">
        <f t="shared" si="101"/>
        <v>1</v>
      </c>
    </row>
    <row r="72" spans="1:13" x14ac:dyDescent="0.25">
      <c r="A72" s="1" t="str">
        <f t="shared" ref="A72:E72" si="106">A13</f>
        <v>P16</v>
      </c>
      <c r="B72" s="1">
        <f t="shared" si="106"/>
        <v>16</v>
      </c>
      <c r="C72" s="1">
        <f t="shared" si="106"/>
        <v>15</v>
      </c>
      <c r="D72" s="1">
        <f t="shared" si="106"/>
        <v>4</v>
      </c>
      <c r="E72" s="1">
        <f t="shared" si="106"/>
        <v>6</v>
      </c>
      <c r="F72" s="2">
        <f t="shared" si="94"/>
        <v>2</v>
      </c>
      <c r="H72" s="2">
        <v>4</v>
      </c>
      <c r="I72" s="2">
        <v>6</v>
      </c>
      <c r="J72" s="2">
        <v>1</v>
      </c>
      <c r="K72" s="2">
        <v>0.48799999999999999</v>
      </c>
      <c r="M72" s="7">
        <f t="shared" si="101"/>
        <v>1</v>
      </c>
    </row>
    <row r="73" spans="1:13" x14ac:dyDescent="0.25">
      <c r="A73" s="1" t="str">
        <f t="shared" ref="A73:E73" si="107">A14</f>
        <v>P16</v>
      </c>
      <c r="B73" s="1">
        <f t="shared" si="107"/>
        <v>16</v>
      </c>
      <c r="C73" s="1">
        <f t="shared" si="107"/>
        <v>16</v>
      </c>
      <c r="D73" s="1">
        <f t="shared" si="107"/>
        <v>3</v>
      </c>
      <c r="E73" s="1">
        <f t="shared" si="107"/>
        <v>6</v>
      </c>
      <c r="F73" s="2">
        <f t="shared" si="94"/>
        <v>2</v>
      </c>
      <c r="H73" s="2">
        <v>3</v>
      </c>
      <c r="I73" s="2">
        <v>6</v>
      </c>
      <c r="J73" s="2">
        <v>1</v>
      </c>
      <c r="K73" s="2">
        <v>3.0000000000000001E-3</v>
      </c>
      <c r="M73" s="7">
        <f t="shared" si="101"/>
        <v>1</v>
      </c>
    </row>
    <row r="74" spans="1:13" x14ac:dyDescent="0.25">
      <c r="A74" s="1" t="str">
        <f t="shared" ref="A74:E74" si="108">A15</f>
        <v>P16</v>
      </c>
      <c r="B74" s="1">
        <f t="shared" si="108"/>
        <v>16</v>
      </c>
      <c r="C74" s="1">
        <f t="shared" si="108"/>
        <v>18</v>
      </c>
      <c r="D74" s="1">
        <f t="shared" si="108"/>
        <v>3</v>
      </c>
      <c r="E74" s="1">
        <f t="shared" si="108"/>
        <v>6</v>
      </c>
      <c r="F74" s="2">
        <f t="shared" si="94"/>
        <v>2</v>
      </c>
      <c r="H74" s="2">
        <v>3</v>
      </c>
      <c r="I74" s="2">
        <v>6</v>
      </c>
      <c r="J74" s="2">
        <v>1</v>
      </c>
      <c r="K74" s="2">
        <v>0.64300000000000002</v>
      </c>
      <c r="M74" s="7">
        <f t="shared" si="101"/>
        <v>1</v>
      </c>
    </row>
    <row r="75" spans="1:13" x14ac:dyDescent="0.25">
      <c r="A75" s="1" t="str">
        <f t="shared" ref="A75:E75" si="109">A16</f>
        <v>P16</v>
      </c>
      <c r="B75" s="1">
        <f t="shared" si="109"/>
        <v>16</v>
      </c>
      <c r="C75" s="1">
        <f t="shared" si="109"/>
        <v>19</v>
      </c>
      <c r="D75" s="1">
        <f t="shared" si="109"/>
        <v>3</v>
      </c>
      <c r="E75" s="1">
        <f t="shared" si="109"/>
        <v>5</v>
      </c>
      <c r="F75" s="2">
        <f t="shared" si="94"/>
        <v>2</v>
      </c>
      <c r="H75" s="2">
        <v>3</v>
      </c>
      <c r="I75" s="2">
        <v>5</v>
      </c>
      <c r="J75" s="2">
        <v>1</v>
      </c>
      <c r="K75" s="2">
        <v>0.71799999999999997</v>
      </c>
      <c r="M75" s="7">
        <f t="shared" si="101"/>
        <v>1</v>
      </c>
    </row>
    <row r="76" spans="1:13" x14ac:dyDescent="0.25">
      <c r="A76" s="1" t="str">
        <f t="shared" ref="A76:E76" si="110">A17</f>
        <v>P16</v>
      </c>
      <c r="B76" s="1">
        <f t="shared" si="110"/>
        <v>16</v>
      </c>
      <c r="C76" s="1">
        <f t="shared" si="110"/>
        <v>20</v>
      </c>
      <c r="D76" s="1">
        <f t="shared" si="110"/>
        <v>3</v>
      </c>
      <c r="E76" s="1">
        <f t="shared" si="110"/>
        <v>5</v>
      </c>
      <c r="F76" s="2">
        <f t="shared" si="94"/>
        <v>2</v>
      </c>
      <c r="H76" s="2">
        <v>3</v>
      </c>
      <c r="I76" s="2">
        <v>5</v>
      </c>
      <c r="J76" s="2">
        <v>1</v>
      </c>
      <c r="K76" s="2">
        <v>0.53500000000000003</v>
      </c>
      <c r="M76" s="7">
        <f t="shared" si="101"/>
        <v>1</v>
      </c>
    </row>
    <row r="77" spans="1:13" x14ac:dyDescent="0.25">
      <c r="A77" s="1" t="str">
        <f t="shared" ref="A77:E77" si="111">A18</f>
        <v>P16</v>
      </c>
      <c r="B77" s="1">
        <f t="shared" si="111"/>
        <v>16</v>
      </c>
      <c r="C77" s="1">
        <f t="shared" si="111"/>
        <v>21</v>
      </c>
      <c r="D77" s="1">
        <f t="shared" si="111"/>
        <v>3</v>
      </c>
      <c r="E77" s="1">
        <f t="shared" si="111"/>
        <v>5</v>
      </c>
      <c r="F77" s="2">
        <f t="shared" si="94"/>
        <v>2</v>
      </c>
      <c r="H77" s="2">
        <v>3</v>
      </c>
      <c r="I77" s="2">
        <v>5</v>
      </c>
      <c r="J77" s="2">
        <v>1</v>
      </c>
      <c r="K77" s="2">
        <v>0.68600000000000005</v>
      </c>
      <c r="M77" s="7">
        <f t="shared" si="101"/>
        <v>1</v>
      </c>
    </row>
    <row r="78" spans="1:13" x14ac:dyDescent="0.25">
      <c r="A78" s="1" t="str">
        <f t="shared" ref="A78:E78" si="112">A19</f>
        <v>P16</v>
      </c>
      <c r="B78" s="1">
        <f t="shared" si="112"/>
        <v>16</v>
      </c>
      <c r="C78" s="1">
        <f t="shared" si="112"/>
        <v>22</v>
      </c>
      <c r="D78" s="1">
        <f t="shared" si="112"/>
        <v>2</v>
      </c>
      <c r="E78" s="1">
        <f t="shared" si="112"/>
        <v>4</v>
      </c>
      <c r="F78" s="2">
        <f t="shared" si="94"/>
        <v>2</v>
      </c>
      <c r="H78" s="2">
        <v>2</v>
      </c>
      <c r="I78" s="2">
        <v>4</v>
      </c>
      <c r="J78" s="2">
        <v>1</v>
      </c>
      <c r="K78" s="2">
        <v>1.0999999999999999E-2</v>
      </c>
      <c r="M78" s="7">
        <f t="shared" si="101"/>
        <v>1</v>
      </c>
    </row>
    <row r="79" spans="1:13" x14ac:dyDescent="0.25">
      <c r="A79" s="1" t="str">
        <f t="shared" ref="A79:E79" si="113">A20</f>
        <v>P24</v>
      </c>
      <c r="B79" s="1">
        <f t="shared" si="113"/>
        <v>24</v>
      </c>
      <c r="C79" s="1">
        <f t="shared" si="113"/>
        <v>18</v>
      </c>
      <c r="D79" s="1">
        <f t="shared" si="113"/>
        <v>4</v>
      </c>
      <c r="E79" s="1">
        <f t="shared" si="113"/>
        <v>8</v>
      </c>
      <c r="F79" s="2">
        <f t="shared" si="94"/>
        <v>2</v>
      </c>
      <c r="H79" s="2">
        <v>4</v>
      </c>
      <c r="I79" s="2">
        <v>8</v>
      </c>
      <c r="J79" s="2">
        <v>1</v>
      </c>
      <c r="K79" s="2">
        <v>4.2000000000000003E-2</v>
      </c>
      <c r="M79" s="7">
        <f t="shared" si="101"/>
        <v>1</v>
      </c>
    </row>
    <row r="80" spans="1:13" x14ac:dyDescent="0.25">
      <c r="A80" s="1" t="str">
        <f t="shared" ref="A80:E80" si="114">A21</f>
        <v>P24</v>
      </c>
      <c r="B80" s="1">
        <f t="shared" si="114"/>
        <v>24</v>
      </c>
      <c r="C80" s="1">
        <f t="shared" si="114"/>
        <v>20</v>
      </c>
      <c r="D80" s="1">
        <f t="shared" si="114"/>
        <v>4</v>
      </c>
      <c r="E80" s="1">
        <f t="shared" si="114"/>
        <v>7</v>
      </c>
      <c r="F80" s="2">
        <f t="shared" si="94"/>
        <v>2</v>
      </c>
      <c r="H80" s="2">
        <v>4</v>
      </c>
      <c r="I80" s="2">
        <v>7</v>
      </c>
      <c r="J80" s="2">
        <v>1</v>
      </c>
      <c r="K80" s="2">
        <v>4.5410000000000004</v>
      </c>
      <c r="M80" s="7">
        <f t="shared" si="101"/>
        <v>1</v>
      </c>
    </row>
    <row r="81" spans="1:13" x14ac:dyDescent="0.25">
      <c r="A81" s="1" t="str">
        <f t="shared" ref="A81:E81" si="115">A22</f>
        <v>P24</v>
      </c>
      <c r="B81" s="1">
        <f t="shared" si="115"/>
        <v>24</v>
      </c>
      <c r="C81" s="1">
        <f t="shared" si="115"/>
        <v>24</v>
      </c>
      <c r="D81" s="1">
        <f t="shared" si="115"/>
        <v>3</v>
      </c>
      <c r="E81" s="1">
        <f t="shared" si="115"/>
        <v>6</v>
      </c>
      <c r="F81" s="2">
        <f t="shared" si="94"/>
        <v>2</v>
      </c>
      <c r="H81" s="2">
        <v>3</v>
      </c>
      <c r="I81" s="2">
        <v>6</v>
      </c>
      <c r="J81" s="2">
        <v>1</v>
      </c>
      <c r="K81" s="2">
        <v>0.04</v>
      </c>
      <c r="M81" s="7">
        <f t="shared" si="101"/>
        <v>1</v>
      </c>
    </row>
    <row r="82" spans="1:13" x14ac:dyDescent="0.25">
      <c r="A82" s="1" t="str">
        <f t="shared" ref="A82:E82" si="116">A23</f>
        <v>P24</v>
      </c>
      <c r="B82" s="1">
        <f t="shared" si="116"/>
        <v>24</v>
      </c>
      <c r="C82" s="1">
        <f t="shared" si="116"/>
        <v>25</v>
      </c>
      <c r="D82" s="1">
        <f t="shared" si="116"/>
        <v>3</v>
      </c>
      <c r="E82" s="1">
        <f t="shared" si="116"/>
        <v>6</v>
      </c>
      <c r="F82" s="2">
        <f t="shared" si="94"/>
        <v>2</v>
      </c>
      <c r="H82" s="2">
        <v>3</v>
      </c>
      <c r="I82" s="2">
        <v>6</v>
      </c>
      <c r="J82" s="2">
        <v>1</v>
      </c>
      <c r="K82" s="2">
        <v>4.2999999999999997E-2</v>
      </c>
      <c r="M82" s="7">
        <f t="shared" si="101"/>
        <v>1</v>
      </c>
    </row>
    <row r="83" spans="1:13" x14ac:dyDescent="0.25">
      <c r="A83" s="1" t="str">
        <f t="shared" ref="A83:E83" si="117">A24</f>
        <v>P24</v>
      </c>
      <c r="B83" s="1">
        <f t="shared" si="117"/>
        <v>24</v>
      </c>
      <c r="C83" s="1">
        <f t="shared" si="117"/>
        <v>30</v>
      </c>
      <c r="D83" s="1">
        <f t="shared" si="117"/>
        <v>3</v>
      </c>
      <c r="E83" s="1">
        <f t="shared" si="117"/>
        <v>5</v>
      </c>
      <c r="F83" s="2">
        <f t="shared" si="94"/>
        <v>2</v>
      </c>
      <c r="H83" s="2">
        <v>3</v>
      </c>
      <c r="I83" s="2">
        <v>5</v>
      </c>
      <c r="J83" s="2">
        <v>1</v>
      </c>
      <c r="K83" s="2">
        <v>4.2999999999999997E-2</v>
      </c>
      <c r="M83" s="7">
        <f t="shared" si="101"/>
        <v>1</v>
      </c>
    </row>
    <row r="84" spans="1:13" x14ac:dyDescent="0.25">
      <c r="A84" s="1" t="str">
        <f t="shared" ref="A84:E84" si="118">A25</f>
        <v>P24</v>
      </c>
      <c r="B84" s="1">
        <f t="shared" si="118"/>
        <v>24</v>
      </c>
      <c r="C84" s="1">
        <f t="shared" si="118"/>
        <v>35</v>
      </c>
      <c r="D84" s="1">
        <f t="shared" si="118"/>
        <v>2</v>
      </c>
      <c r="E84" s="1">
        <f t="shared" si="118"/>
        <v>4</v>
      </c>
      <c r="F84" s="2">
        <f t="shared" si="94"/>
        <v>2</v>
      </c>
      <c r="H84" s="2">
        <v>2</v>
      </c>
      <c r="I84" s="2">
        <v>4</v>
      </c>
      <c r="J84" s="2">
        <v>1</v>
      </c>
      <c r="K84" s="2">
        <v>4.9000000000000002E-2</v>
      </c>
      <c r="M84" s="7">
        <f t="shared" si="101"/>
        <v>1</v>
      </c>
    </row>
    <row r="85" spans="1:13" x14ac:dyDescent="0.25">
      <c r="A85" s="1" t="str">
        <f t="shared" ref="A85:E85" si="119">A26</f>
        <v>P24</v>
      </c>
      <c r="B85" s="1">
        <f t="shared" si="119"/>
        <v>24</v>
      </c>
      <c r="C85" s="1">
        <f t="shared" si="119"/>
        <v>40</v>
      </c>
      <c r="D85" s="1">
        <f t="shared" si="119"/>
        <v>2</v>
      </c>
      <c r="E85" s="1">
        <f t="shared" si="119"/>
        <v>4</v>
      </c>
      <c r="F85" s="2">
        <f t="shared" si="94"/>
        <v>2</v>
      </c>
      <c r="H85" s="2">
        <v>2</v>
      </c>
      <c r="I85" s="2">
        <v>4</v>
      </c>
      <c r="J85" s="2">
        <v>1</v>
      </c>
      <c r="K85" s="2">
        <v>4.7E-2</v>
      </c>
      <c r="M85" s="7">
        <f t="shared" si="101"/>
        <v>1</v>
      </c>
    </row>
    <row r="86" spans="1:13" x14ac:dyDescent="0.25">
      <c r="A86" s="1" t="str">
        <f t="shared" ref="A86:E86" si="120">A27</f>
        <v>P65</v>
      </c>
      <c r="B86" s="1">
        <f t="shared" si="120"/>
        <v>65</v>
      </c>
      <c r="C86" s="1">
        <f t="shared" si="120"/>
        <v>326</v>
      </c>
      <c r="D86" s="1">
        <f t="shared" si="120"/>
        <v>8</v>
      </c>
      <c r="E86" s="1">
        <f t="shared" si="120"/>
        <v>16</v>
      </c>
      <c r="F86" s="2">
        <f t="shared" si="94"/>
        <v>2</v>
      </c>
      <c r="H86" s="2">
        <v>8</v>
      </c>
      <c r="I86" s="2">
        <v>16</v>
      </c>
      <c r="J86" s="2">
        <v>1</v>
      </c>
      <c r="K86" s="2">
        <v>0.152</v>
      </c>
      <c r="M86" s="7">
        <f t="shared" si="101"/>
        <v>1</v>
      </c>
    </row>
    <row r="87" spans="1:13" x14ac:dyDescent="0.25">
      <c r="A87" s="1" t="str">
        <f t="shared" ref="A87:E87" si="121">A28</f>
        <v>P65</v>
      </c>
      <c r="B87" s="1">
        <f t="shared" si="121"/>
        <v>65</v>
      </c>
      <c r="C87" s="1">
        <f t="shared" si="121"/>
        <v>381</v>
      </c>
      <c r="D87" s="1">
        <f t="shared" si="121"/>
        <v>7</v>
      </c>
      <c r="E87" s="1">
        <f t="shared" si="121"/>
        <v>14</v>
      </c>
      <c r="F87" s="2">
        <f t="shared" si="94"/>
        <v>2</v>
      </c>
      <c r="H87" s="2">
        <v>7</v>
      </c>
      <c r="I87" s="2">
        <v>14</v>
      </c>
      <c r="J87" s="2">
        <v>1</v>
      </c>
      <c r="K87" s="2">
        <v>0.14399999999999999</v>
      </c>
      <c r="M87" s="7">
        <f t="shared" si="101"/>
        <v>1</v>
      </c>
    </row>
    <row r="88" spans="1:13" x14ac:dyDescent="0.25">
      <c r="A88" s="1" t="str">
        <f t="shared" ref="A88:E88" si="122">A29</f>
        <v>P65</v>
      </c>
      <c r="B88" s="1">
        <f t="shared" si="122"/>
        <v>65</v>
      </c>
      <c r="C88" s="1">
        <f t="shared" si="122"/>
        <v>435</v>
      </c>
      <c r="D88" s="1">
        <f t="shared" si="122"/>
        <v>6</v>
      </c>
      <c r="E88" s="1">
        <f t="shared" si="122"/>
        <v>12</v>
      </c>
      <c r="F88" s="2">
        <f t="shared" si="94"/>
        <v>2</v>
      </c>
      <c r="H88" s="2">
        <v>6</v>
      </c>
      <c r="I88" s="2">
        <v>12</v>
      </c>
      <c r="J88" s="2">
        <v>1</v>
      </c>
      <c r="K88" s="2">
        <v>4.6310000000000002</v>
      </c>
      <c r="M88" s="7">
        <f t="shared" si="101"/>
        <v>1</v>
      </c>
    </row>
    <row r="89" spans="1:13" x14ac:dyDescent="0.25">
      <c r="A89" s="1" t="str">
        <f t="shared" ref="A89:E89" si="123">A30</f>
        <v>P65</v>
      </c>
      <c r="B89" s="1">
        <f t="shared" si="123"/>
        <v>65</v>
      </c>
      <c r="C89" s="1">
        <f t="shared" si="123"/>
        <v>490</v>
      </c>
      <c r="D89" s="1">
        <f t="shared" si="123"/>
        <v>6</v>
      </c>
      <c r="E89" s="1">
        <f t="shared" si="123"/>
        <v>11</v>
      </c>
      <c r="F89" s="2">
        <f t="shared" si="94"/>
        <v>2</v>
      </c>
      <c r="H89" s="2">
        <v>6</v>
      </c>
      <c r="I89" s="2">
        <v>11</v>
      </c>
      <c r="J89" s="2">
        <v>1</v>
      </c>
      <c r="K89" s="2">
        <v>8.1430000000000007</v>
      </c>
      <c r="M89" s="7">
        <f t="shared" si="101"/>
        <v>1</v>
      </c>
    </row>
    <row r="90" spans="1:13" x14ac:dyDescent="0.25">
      <c r="A90" s="1" t="str">
        <f t="shared" ref="A90:E90" si="124">A31</f>
        <v>P65</v>
      </c>
      <c r="B90" s="1">
        <f t="shared" si="124"/>
        <v>65</v>
      </c>
      <c r="C90" s="1">
        <f t="shared" si="124"/>
        <v>512</v>
      </c>
      <c r="D90" s="1">
        <f t="shared" si="124"/>
        <v>5</v>
      </c>
      <c r="E90" s="1">
        <f t="shared" si="124"/>
        <v>10</v>
      </c>
      <c r="F90" s="2">
        <f t="shared" si="94"/>
        <v>2</v>
      </c>
      <c r="H90" s="2">
        <v>6</v>
      </c>
      <c r="I90" s="2">
        <v>10</v>
      </c>
      <c r="J90" s="2">
        <v>0</v>
      </c>
      <c r="K90" s="2">
        <v>300.08699999999999</v>
      </c>
      <c r="M90" s="7">
        <f t="shared" si="101"/>
        <v>0</v>
      </c>
    </row>
    <row r="91" spans="1:13" x14ac:dyDescent="0.25">
      <c r="A91" s="1" t="str">
        <f t="shared" ref="A91:E91" si="125">A32</f>
        <v>P65</v>
      </c>
      <c r="B91" s="1">
        <f t="shared" si="125"/>
        <v>65</v>
      </c>
      <c r="C91" s="1">
        <f t="shared" si="125"/>
        <v>544</v>
      </c>
      <c r="D91" s="1">
        <f t="shared" si="125"/>
        <v>5</v>
      </c>
      <c r="E91" s="1">
        <f t="shared" si="125"/>
        <v>10</v>
      </c>
      <c r="F91" s="2">
        <f t="shared" si="94"/>
        <v>2</v>
      </c>
      <c r="H91" s="2">
        <v>5</v>
      </c>
      <c r="I91" s="2">
        <v>10</v>
      </c>
      <c r="J91" s="2">
        <v>1</v>
      </c>
      <c r="K91" s="2">
        <v>10.956</v>
      </c>
      <c r="M91" s="7">
        <f t="shared" si="101"/>
        <v>1</v>
      </c>
    </row>
    <row r="92" spans="1:13" x14ac:dyDescent="0.25">
      <c r="A92" s="1" t="str">
        <f t="shared" ref="A92:E92" si="126">A33</f>
        <v>P148</v>
      </c>
      <c r="B92" s="1">
        <f t="shared" si="126"/>
        <v>148</v>
      </c>
      <c r="C92" s="1">
        <f t="shared" si="126"/>
        <v>204</v>
      </c>
      <c r="D92" s="1">
        <f t="shared" si="126"/>
        <v>13</v>
      </c>
      <c r="E92" s="1">
        <f t="shared" si="126"/>
        <v>26</v>
      </c>
      <c r="F92" s="2">
        <f t="shared" si="94"/>
        <v>2</v>
      </c>
      <c r="H92" s="2">
        <v>14</v>
      </c>
      <c r="I92" s="2">
        <v>26</v>
      </c>
      <c r="J92" s="2">
        <v>0</v>
      </c>
      <c r="K92" s="2">
        <v>300.96100000000001</v>
      </c>
      <c r="M92" s="7">
        <f t="shared" si="101"/>
        <v>0</v>
      </c>
    </row>
    <row r="93" spans="1:13" x14ac:dyDescent="0.25">
      <c r="A93" s="1" t="str">
        <f t="shared" ref="A93:E93" si="127">A34</f>
        <v>P148</v>
      </c>
      <c r="B93" s="1">
        <f t="shared" si="127"/>
        <v>148</v>
      </c>
      <c r="C93" s="1">
        <f t="shared" si="127"/>
        <v>228</v>
      </c>
      <c r="D93" s="1">
        <f t="shared" si="127"/>
        <v>12</v>
      </c>
      <c r="E93" s="1">
        <f t="shared" si="127"/>
        <v>23</v>
      </c>
      <c r="F93" s="2">
        <f t="shared" si="94"/>
        <v>2</v>
      </c>
      <c r="H93" s="2">
        <v>12</v>
      </c>
      <c r="I93" s="2">
        <v>23</v>
      </c>
      <c r="J93" s="2">
        <v>1</v>
      </c>
      <c r="K93" s="2">
        <v>144.875</v>
      </c>
      <c r="M93" s="7">
        <f t="shared" si="101"/>
        <v>1</v>
      </c>
    </row>
    <row r="94" spans="1:13" x14ac:dyDescent="0.25">
      <c r="A94" s="1" t="str">
        <f t="shared" ref="A94:E94" si="128">A35</f>
        <v>P148</v>
      </c>
      <c r="B94" s="1">
        <f t="shared" si="128"/>
        <v>148</v>
      </c>
      <c r="C94" s="1">
        <f t="shared" si="128"/>
        <v>255</v>
      </c>
      <c r="D94" s="1">
        <f t="shared" si="128"/>
        <v>11</v>
      </c>
      <c r="E94" s="1">
        <f t="shared" si="128"/>
        <v>21</v>
      </c>
      <c r="F94" s="2">
        <f t="shared" si="94"/>
        <v>2</v>
      </c>
      <c r="H94" s="2">
        <v>11</v>
      </c>
      <c r="I94" s="2">
        <v>21</v>
      </c>
      <c r="J94" s="2">
        <v>1</v>
      </c>
      <c r="K94" s="2">
        <v>48.319000000000003</v>
      </c>
      <c r="M94" s="7">
        <f t="shared" si="101"/>
        <v>1</v>
      </c>
    </row>
    <row r="95" spans="1:13" x14ac:dyDescent="0.25">
      <c r="A95" s="1" t="str">
        <f t="shared" ref="A95:E95" si="129">A36</f>
        <v>P148</v>
      </c>
      <c r="B95" s="1">
        <f t="shared" si="129"/>
        <v>148</v>
      </c>
      <c r="C95" s="1">
        <f t="shared" si="129"/>
        <v>306</v>
      </c>
      <c r="D95" s="1">
        <f t="shared" si="129"/>
        <v>9</v>
      </c>
      <c r="E95" s="1">
        <f t="shared" si="129"/>
        <v>17</v>
      </c>
      <c r="F95" s="2">
        <f t="shared" si="94"/>
        <v>2</v>
      </c>
      <c r="H95" s="2">
        <v>9</v>
      </c>
      <c r="I95" s="2">
        <v>18</v>
      </c>
      <c r="J95" s="2">
        <v>0</v>
      </c>
      <c r="K95" s="2">
        <v>300.93099999999998</v>
      </c>
      <c r="M95" s="7">
        <f t="shared" si="101"/>
        <v>0</v>
      </c>
    </row>
    <row r="96" spans="1:13" x14ac:dyDescent="0.25">
      <c r="A96" s="1" t="str">
        <f t="shared" ref="A96:E96" si="130">A37</f>
        <v>P148</v>
      </c>
      <c r="B96" s="1">
        <f t="shared" si="130"/>
        <v>148</v>
      </c>
      <c r="C96" s="1">
        <f t="shared" si="130"/>
        <v>357</v>
      </c>
      <c r="D96" s="1">
        <f t="shared" si="130"/>
        <v>8</v>
      </c>
      <c r="E96" s="1">
        <f t="shared" si="130"/>
        <v>15</v>
      </c>
      <c r="F96" s="2">
        <f t="shared" si="94"/>
        <v>2</v>
      </c>
      <c r="H96" s="2">
        <v>8</v>
      </c>
      <c r="I96" s="2">
        <v>15</v>
      </c>
      <c r="J96" s="2">
        <v>1</v>
      </c>
      <c r="K96" s="2">
        <v>4.9029999999999996</v>
      </c>
      <c r="M96" s="7">
        <f t="shared" si="101"/>
        <v>1</v>
      </c>
    </row>
    <row r="97" spans="1:13" x14ac:dyDescent="0.25">
      <c r="A97" s="1" t="str">
        <f t="shared" ref="A97:E97" si="131">A38</f>
        <v>P148</v>
      </c>
      <c r="B97" s="1">
        <f t="shared" si="131"/>
        <v>148</v>
      </c>
      <c r="C97" s="1">
        <f t="shared" si="131"/>
        <v>378</v>
      </c>
      <c r="D97" s="1">
        <f t="shared" si="131"/>
        <v>7</v>
      </c>
      <c r="E97" s="1">
        <f t="shared" si="131"/>
        <v>14</v>
      </c>
      <c r="F97" s="2">
        <f t="shared" si="94"/>
        <v>2</v>
      </c>
      <c r="H97" s="2">
        <v>8</v>
      </c>
      <c r="I97" s="2">
        <v>14</v>
      </c>
      <c r="J97" s="2">
        <v>0</v>
      </c>
      <c r="K97" s="2">
        <v>300.92399999999998</v>
      </c>
      <c r="M97" s="7">
        <f t="shared" si="101"/>
        <v>0</v>
      </c>
    </row>
    <row r="98" spans="1:13" x14ac:dyDescent="0.25">
      <c r="A98" s="1" t="str">
        <f t="shared" ref="A98:E98" si="132">A39</f>
        <v>P148</v>
      </c>
      <c r="B98" s="1">
        <f t="shared" si="132"/>
        <v>148</v>
      </c>
      <c r="C98" s="1">
        <f t="shared" si="132"/>
        <v>408</v>
      </c>
      <c r="D98" s="1">
        <f t="shared" si="132"/>
        <v>7</v>
      </c>
      <c r="E98" s="1">
        <f t="shared" si="132"/>
        <v>13</v>
      </c>
      <c r="F98" s="2">
        <f t="shared" si="94"/>
        <v>2</v>
      </c>
      <c r="H98" s="2">
        <v>8</v>
      </c>
      <c r="I98" s="2">
        <v>13</v>
      </c>
      <c r="J98" s="2">
        <v>0</v>
      </c>
      <c r="K98" s="2">
        <v>300.93700000000001</v>
      </c>
      <c r="M98" s="7">
        <f t="shared" si="101"/>
        <v>0</v>
      </c>
    </row>
    <row r="99" spans="1:13" x14ac:dyDescent="0.25">
      <c r="A99" s="1" t="str">
        <f t="shared" ref="A99:E99" si="133">A40</f>
        <v>P148</v>
      </c>
      <c r="B99" s="1">
        <f t="shared" si="133"/>
        <v>148</v>
      </c>
      <c r="C99" s="1">
        <f t="shared" si="133"/>
        <v>454</v>
      </c>
      <c r="D99" s="1">
        <f t="shared" si="133"/>
        <v>6</v>
      </c>
      <c r="E99" s="1">
        <f t="shared" si="133"/>
        <v>12</v>
      </c>
      <c r="F99" s="2">
        <f t="shared" si="94"/>
        <v>2</v>
      </c>
      <c r="H99" s="2">
        <v>7</v>
      </c>
      <c r="I99" s="2">
        <v>12</v>
      </c>
      <c r="J99" s="2">
        <v>0</v>
      </c>
      <c r="K99" s="2">
        <v>300.11599999999999</v>
      </c>
      <c r="M99" s="7">
        <f t="shared" si="101"/>
        <v>0</v>
      </c>
    </row>
    <row r="100" spans="1:13" x14ac:dyDescent="0.25">
      <c r="A100" s="1" t="str">
        <f t="shared" ref="A100:E100" si="134">A41</f>
        <v>P148</v>
      </c>
      <c r="B100" s="1">
        <f t="shared" si="134"/>
        <v>148</v>
      </c>
      <c r="C100" s="1">
        <f t="shared" si="134"/>
        <v>459</v>
      </c>
      <c r="D100" s="1">
        <f t="shared" si="134"/>
        <v>6</v>
      </c>
      <c r="E100" s="1">
        <f t="shared" si="134"/>
        <v>12</v>
      </c>
      <c r="F100" s="2">
        <f t="shared" si="94"/>
        <v>2</v>
      </c>
      <c r="H100" s="2">
        <v>7</v>
      </c>
      <c r="I100" s="2">
        <v>12</v>
      </c>
      <c r="J100" s="2">
        <v>0</v>
      </c>
      <c r="K100" s="2">
        <v>300.89400000000001</v>
      </c>
      <c r="M100" s="7">
        <f t="shared" si="101"/>
        <v>0</v>
      </c>
    </row>
    <row r="101" spans="1:13" x14ac:dyDescent="0.25">
      <c r="A101" s="1" t="str">
        <f t="shared" ref="A101:E101" si="135">A42</f>
        <v>P148</v>
      </c>
      <c r="B101" s="1">
        <f t="shared" si="135"/>
        <v>148</v>
      </c>
      <c r="C101" s="1">
        <f t="shared" si="135"/>
        <v>510</v>
      </c>
      <c r="D101" s="1">
        <f t="shared" si="135"/>
        <v>6</v>
      </c>
      <c r="E101" s="1">
        <f t="shared" si="135"/>
        <v>11</v>
      </c>
      <c r="F101" s="2">
        <f t="shared" si="94"/>
        <v>2</v>
      </c>
      <c r="H101" s="2">
        <v>7</v>
      </c>
      <c r="I101" s="2">
        <v>11</v>
      </c>
      <c r="J101" s="2">
        <v>0</v>
      </c>
      <c r="K101" s="2">
        <v>300.74900000000002</v>
      </c>
      <c r="M101" s="7">
        <f t="shared" si="101"/>
        <v>0</v>
      </c>
    </row>
    <row r="102" spans="1:13" x14ac:dyDescent="0.25">
      <c r="A102" s="1" t="str">
        <f t="shared" ref="A102:E102" si="136">A43</f>
        <v>P205</v>
      </c>
      <c r="B102" s="1">
        <f t="shared" si="136"/>
        <v>205</v>
      </c>
      <c r="C102" s="1">
        <f t="shared" si="136"/>
        <v>1133</v>
      </c>
      <c r="D102" s="1">
        <f t="shared" si="136"/>
        <v>11</v>
      </c>
      <c r="E102" s="1">
        <f t="shared" si="136"/>
        <v>21</v>
      </c>
      <c r="F102" s="2">
        <f t="shared" si="94"/>
        <v>2</v>
      </c>
      <c r="H102" s="2">
        <v>11</v>
      </c>
      <c r="I102" s="2">
        <v>22</v>
      </c>
      <c r="J102" s="2">
        <v>0</v>
      </c>
      <c r="K102" s="2">
        <v>300.827</v>
      </c>
      <c r="M102" s="7">
        <f t="shared" si="101"/>
        <v>0</v>
      </c>
    </row>
    <row r="103" spans="1:13" x14ac:dyDescent="0.25">
      <c r="A103" s="1" t="str">
        <f t="shared" ref="A103:E103" si="137">A44</f>
        <v>P205</v>
      </c>
      <c r="B103" s="1">
        <f t="shared" si="137"/>
        <v>205</v>
      </c>
      <c r="C103" s="1">
        <f t="shared" si="137"/>
        <v>1275</v>
      </c>
      <c r="D103" s="1">
        <f t="shared" si="137"/>
        <v>10</v>
      </c>
      <c r="E103" s="1">
        <f t="shared" si="137"/>
        <v>19</v>
      </c>
      <c r="F103" s="2">
        <f t="shared" si="94"/>
        <v>2</v>
      </c>
      <c r="H103" s="2">
        <v>11</v>
      </c>
      <c r="I103" s="2">
        <v>22</v>
      </c>
      <c r="J103" s="2">
        <v>0</v>
      </c>
      <c r="K103" s="2">
        <v>301.17399999999998</v>
      </c>
      <c r="M103" s="7">
        <f t="shared" si="101"/>
        <v>0</v>
      </c>
    </row>
    <row r="104" spans="1:13" x14ac:dyDescent="0.25">
      <c r="A104" s="1" t="str">
        <f t="shared" ref="A104:E104" si="138">A45</f>
        <v>P205</v>
      </c>
      <c r="B104" s="1">
        <f t="shared" si="138"/>
        <v>205</v>
      </c>
      <c r="C104" s="1">
        <f t="shared" si="138"/>
        <v>1322</v>
      </c>
      <c r="D104" s="1">
        <f t="shared" si="138"/>
        <v>9</v>
      </c>
      <c r="E104" s="1">
        <f t="shared" si="138"/>
        <v>18</v>
      </c>
      <c r="F104" s="2">
        <f t="shared" si="94"/>
        <v>2</v>
      </c>
      <c r="H104" s="2">
        <v>10</v>
      </c>
      <c r="I104" s="2">
        <v>19</v>
      </c>
      <c r="J104" s="2">
        <v>0</v>
      </c>
      <c r="K104" s="2">
        <v>300.91199999999998</v>
      </c>
      <c r="M104" s="7">
        <f t="shared" si="101"/>
        <v>0</v>
      </c>
    </row>
    <row r="105" spans="1:13" x14ac:dyDescent="0.25">
      <c r="A105" s="1" t="str">
        <f t="shared" ref="A105:E105" si="139">A46</f>
        <v>P205</v>
      </c>
      <c r="B105" s="1">
        <f t="shared" si="139"/>
        <v>205</v>
      </c>
      <c r="C105" s="1">
        <f t="shared" si="139"/>
        <v>1455</v>
      </c>
      <c r="D105" s="1">
        <f t="shared" si="139"/>
        <v>9</v>
      </c>
      <c r="E105" s="1">
        <f t="shared" si="139"/>
        <v>17</v>
      </c>
      <c r="F105" s="2">
        <f t="shared" si="94"/>
        <v>2</v>
      </c>
      <c r="H105" s="2">
        <v>10</v>
      </c>
      <c r="I105" s="2">
        <v>18</v>
      </c>
      <c r="J105" s="2">
        <v>0</v>
      </c>
      <c r="K105" s="2">
        <v>300.97300000000001</v>
      </c>
      <c r="M105" s="7">
        <f t="shared" si="101"/>
        <v>0</v>
      </c>
    </row>
    <row r="106" spans="1:13" x14ac:dyDescent="0.25">
      <c r="A106" s="1" t="str">
        <f t="shared" ref="A106:E106" si="140">A47</f>
        <v>P205</v>
      </c>
      <c r="B106" s="1">
        <f t="shared" si="140"/>
        <v>205</v>
      </c>
      <c r="C106" s="1">
        <f t="shared" si="140"/>
        <v>1510</v>
      </c>
      <c r="D106" s="1">
        <f t="shared" si="140"/>
        <v>8</v>
      </c>
      <c r="E106" s="1">
        <f t="shared" si="140"/>
        <v>16</v>
      </c>
      <c r="F106" s="2">
        <f t="shared" si="94"/>
        <v>2</v>
      </c>
      <c r="H106" s="2">
        <v>9</v>
      </c>
      <c r="I106" s="2">
        <v>18</v>
      </c>
      <c r="J106" s="2">
        <v>0</v>
      </c>
      <c r="K106" s="2">
        <v>300.93</v>
      </c>
      <c r="M106" s="7">
        <f t="shared" si="101"/>
        <v>0</v>
      </c>
    </row>
    <row r="107" spans="1:13" x14ac:dyDescent="0.25">
      <c r="A107" s="1" t="str">
        <f t="shared" ref="A107:E107" si="141">A48</f>
        <v>P205</v>
      </c>
      <c r="B107" s="1">
        <f t="shared" si="141"/>
        <v>205</v>
      </c>
      <c r="C107" s="1">
        <f t="shared" si="141"/>
        <v>1650</v>
      </c>
      <c r="D107" s="1">
        <f t="shared" si="141"/>
        <v>8</v>
      </c>
      <c r="E107" s="1">
        <f t="shared" si="141"/>
        <v>15</v>
      </c>
      <c r="F107" s="2">
        <f t="shared" si="94"/>
        <v>2</v>
      </c>
      <c r="H107" s="2">
        <v>9</v>
      </c>
      <c r="I107" s="2">
        <v>18</v>
      </c>
      <c r="J107" s="2">
        <v>0</v>
      </c>
      <c r="K107" s="2">
        <v>300.87299999999999</v>
      </c>
      <c r="M107" s="7">
        <f t="shared" si="101"/>
        <v>0</v>
      </c>
    </row>
    <row r="108" spans="1:13" x14ac:dyDescent="0.25">
      <c r="A108" s="1" t="str">
        <f t="shared" ref="A108:E108" si="142">A49</f>
        <v>P205</v>
      </c>
      <c r="B108" s="1">
        <f t="shared" si="142"/>
        <v>205</v>
      </c>
      <c r="C108" s="1">
        <f t="shared" si="142"/>
        <v>1699</v>
      </c>
      <c r="D108" s="1">
        <f t="shared" si="142"/>
        <v>7</v>
      </c>
      <c r="E108" s="1">
        <f t="shared" si="142"/>
        <v>14</v>
      </c>
      <c r="F108" s="2">
        <f t="shared" si="94"/>
        <v>2</v>
      </c>
      <c r="H108" s="2">
        <v>8</v>
      </c>
      <c r="I108" s="2">
        <v>16</v>
      </c>
      <c r="J108" s="2">
        <v>0</v>
      </c>
      <c r="K108" s="2">
        <v>301.29599999999999</v>
      </c>
      <c r="M108" s="7">
        <f t="shared" si="101"/>
        <v>0</v>
      </c>
    </row>
    <row r="109" spans="1:13" x14ac:dyDescent="0.25">
      <c r="A109" s="1" t="str">
        <f t="shared" ref="A109:E109" si="143">A50</f>
        <v>P205</v>
      </c>
      <c r="B109" s="1">
        <f t="shared" si="143"/>
        <v>205</v>
      </c>
      <c r="C109" s="1">
        <f t="shared" si="143"/>
        <v>1888</v>
      </c>
      <c r="D109" s="1">
        <f t="shared" si="143"/>
        <v>7</v>
      </c>
      <c r="E109" s="1">
        <f t="shared" si="143"/>
        <v>13</v>
      </c>
      <c r="F109" s="2">
        <f t="shared" si="94"/>
        <v>2</v>
      </c>
      <c r="H109" s="2">
        <v>8</v>
      </c>
      <c r="I109" s="2">
        <v>16</v>
      </c>
      <c r="J109" s="2">
        <v>0</v>
      </c>
      <c r="K109" s="2">
        <v>300.90300000000002</v>
      </c>
      <c r="M109" s="7">
        <f t="shared" si="101"/>
        <v>0</v>
      </c>
    </row>
    <row r="110" spans="1:13" x14ac:dyDescent="0.25">
      <c r="A110" s="1" t="str">
        <f t="shared" ref="A110:E110" si="144">A51</f>
        <v>P205</v>
      </c>
      <c r="B110" s="1">
        <f t="shared" si="144"/>
        <v>205</v>
      </c>
      <c r="C110" s="1">
        <f t="shared" si="144"/>
        <v>1920</v>
      </c>
      <c r="D110" s="1">
        <f t="shared" si="144"/>
        <v>7</v>
      </c>
      <c r="E110" s="1">
        <f t="shared" si="144"/>
        <v>13</v>
      </c>
      <c r="F110" s="2">
        <f t="shared" si="94"/>
        <v>2</v>
      </c>
      <c r="H110" s="2">
        <v>8</v>
      </c>
      <c r="I110" s="2">
        <v>16</v>
      </c>
      <c r="J110" s="2">
        <v>0</v>
      </c>
      <c r="K110" s="2">
        <v>300.846</v>
      </c>
      <c r="M110" s="7">
        <f t="shared" si="101"/>
        <v>0</v>
      </c>
    </row>
    <row r="111" spans="1:13" x14ac:dyDescent="0.25">
      <c r="A111" s="1" t="str">
        <f t="shared" ref="A111:E111" si="145">A52</f>
        <v>P205</v>
      </c>
      <c r="B111" s="1">
        <f t="shared" si="145"/>
        <v>205</v>
      </c>
      <c r="C111" s="1">
        <f t="shared" si="145"/>
        <v>2077</v>
      </c>
      <c r="D111" s="1">
        <f t="shared" si="145"/>
        <v>6</v>
      </c>
      <c r="E111" s="1">
        <f t="shared" si="145"/>
        <v>12</v>
      </c>
      <c r="F111" s="2">
        <f t="shared" si="94"/>
        <v>2</v>
      </c>
      <c r="H111" s="2">
        <v>7</v>
      </c>
      <c r="I111" s="2">
        <v>14</v>
      </c>
      <c r="J111" s="2">
        <v>0</v>
      </c>
      <c r="K111" s="2">
        <v>301.06900000000002</v>
      </c>
      <c r="M111" s="7">
        <f t="shared" si="101"/>
        <v>0</v>
      </c>
    </row>
    <row r="112" spans="1:13" x14ac:dyDescent="0.25">
      <c r="A112" s="1" t="str">
        <f t="shared" ref="A112:E112" si="146">A53</f>
        <v>P205</v>
      </c>
      <c r="B112" s="1">
        <f t="shared" si="146"/>
        <v>205</v>
      </c>
      <c r="C112" s="1">
        <f t="shared" si="146"/>
        <v>2100</v>
      </c>
      <c r="D112" s="1">
        <f t="shared" si="146"/>
        <v>6</v>
      </c>
      <c r="E112" s="1">
        <f t="shared" si="146"/>
        <v>12</v>
      </c>
      <c r="F112" s="2">
        <f t="shared" si="94"/>
        <v>2</v>
      </c>
      <c r="H112" s="2">
        <v>8</v>
      </c>
      <c r="I112" s="2">
        <v>15</v>
      </c>
      <c r="J112" s="2">
        <v>0</v>
      </c>
      <c r="K112" s="2">
        <v>301.101</v>
      </c>
      <c r="M112" s="7">
        <f t="shared" si="101"/>
        <v>0</v>
      </c>
    </row>
    <row r="113" spans="1:13" x14ac:dyDescent="0.25">
      <c r="A113" s="1" t="str">
        <f t="shared" ref="A113:E113" si="147">A54</f>
        <v>P205</v>
      </c>
      <c r="B113" s="1">
        <f t="shared" si="147"/>
        <v>205</v>
      </c>
      <c r="C113" s="1">
        <f t="shared" si="147"/>
        <v>2266</v>
      </c>
      <c r="D113" s="1">
        <f t="shared" si="147"/>
        <v>6</v>
      </c>
      <c r="E113" s="1">
        <f t="shared" si="147"/>
        <v>11</v>
      </c>
      <c r="F113" s="2">
        <f t="shared" si="94"/>
        <v>2</v>
      </c>
      <c r="H113" s="2">
        <v>7</v>
      </c>
      <c r="I113" s="2">
        <v>14</v>
      </c>
      <c r="J113" s="2">
        <v>0</v>
      </c>
      <c r="K113" s="2">
        <v>301.53100000000001</v>
      </c>
      <c r="M113" s="7">
        <f t="shared" si="101"/>
        <v>0</v>
      </c>
    </row>
    <row r="114" spans="1:13" x14ac:dyDescent="0.25">
      <c r="A114" s="1" t="str">
        <f t="shared" ref="A114:E114" si="148">A55</f>
        <v>P205</v>
      </c>
      <c r="B114" s="1">
        <f t="shared" si="148"/>
        <v>205</v>
      </c>
      <c r="C114" s="1">
        <f t="shared" si="148"/>
        <v>2300</v>
      </c>
      <c r="D114" s="1">
        <f t="shared" si="148"/>
        <v>6</v>
      </c>
      <c r="E114" s="1">
        <f t="shared" si="148"/>
        <v>11</v>
      </c>
      <c r="F114" s="2">
        <f t="shared" si="94"/>
        <v>2</v>
      </c>
      <c r="H114" s="2">
        <v>7</v>
      </c>
      <c r="I114" s="2">
        <v>14</v>
      </c>
      <c r="J114" s="2">
        <v>0</v>
      </c>
      <c r="K114" s="2">
        <v>300.78500000000003</v>
      </c>
      <c r="M114" s="7">
        <f t="shared" si="101"/>
        <v>0</v>
      </c>
    </row>
    <row r="115" spans="1:13" x14ac:dyDescent="0.25">
      <c r="A115" s="1" t="str">
        <f t="shared" ref="A115:E115" si="149">A56</f>
        <v>P205</v>
      </c>
      <c r="B115" s="1">
        <f t="shared" si="149"/>
        <v>205</v>
      </c>
      <c r="C115" s="1">
        <f t="shared" si="149"/>
        <v>2454</v>
      </c>
      <c r="D115" s="1">
        <f t="shared" si="149"/>
        <v>5</v>
      </c>
      <c r="E115" s="1">
        <f t="shared" si="149"/>
        <v>10</v>
      </c>
      <c r="F115" s="2">
        <f t="shared" si="94"/>
        <v>2</v>
      </c>
      <c r="H115" s="2">
        <v>6</v>
      </c>
      <c r="I115" s="2">
        <v>12</v>
      </c>
      <c r="J115" s="2">
        <v>0</v>
      </c>
      <c r="K115" s="2">
        <v>301.10000000000002</v>
      </c>
      <c r="M115" s="7">
        <f t="shared" si="101"/>
        <v>0</v>
      </c>
    </row>
    <row r="116" spans="1:13" x14ac:dyDescent="0.25">
      <c r="A116" s="1" t="str">
        <f t="shared" ref="A116:E116" si="150">A57</f>
        <v>P205</v>
      </c>
      <c r="B116" s="1">
        <f t="shared" si="150"/>
        <v>205</v>
      </c>
      <c r="C116" s="1">
        <f t="shared" si="150"/>
        <v>2500</v>
      </c>
      <c r="D116" s="1">
        <f t="shared" si="150"/>
        <v>5</v>
      </c>
      <c r="E116" s="1">
        <f t="shared" si="150"/>
        <v>10</v>
      </c>
      <c r="F116" s="2">
        <f t="shared" si="94"/>
        <v>2</v>
      </c>
      <c r="H116" s="2">
        <v>6</v>
      </c>
      <c r="I116" s="2">
        <v>12</v>
      </c>
      <c r="J116" s="2">
        <v>0</v>
      </c>
      <c r="K116" s="2">
        <v>301.14299999999997</v>
      </c>
      <c r="M116" s="7">
        <f t="shared" si="101"/>
        <v>0</v>
      </c>
    </row>
    <row r="117" spans="1:13" x14ac:dyDescent="0.25">
      <c r="A117" s="1" t="str">
        <f t="shared" ref="A117:E117" si="151">A58</f>
        <v>P205</v>
      </c>
      <c r="B117" s="1">
        <f t="shared" si="151"/>
        <v>205</v>
      </c>
      <c r="C117" s="1">
        <f t="shared" si="151"/>
        <v>2643</v>
      </c>
      <c r="D117" s="1">
        <f t="shared" si="151"/>
        <v>5</v>
      </c>
      <c r="E117" s="1">
        <f t="shared" si="151"/>
        <v>9</v>
      </c>
      <c r="F117" s="2">
        <f t="shared" si="94"/>
        <v>2</v>
      </c>
      <c r="H117" s="2">
        <v>6</v>
      </c>
      <c r="I117" s="2">
        <v>12</v>
      </c>
      <c r="J117" s="2">
        <v>0</v>
      </c>
      <c r="K117" s="2">
        <v>300.92599999999999</v>
      </c>
      <c r="M117" s="7">
        <f t="shared" si="101"/>
        <v>0</v>
      </c>
    </row>
    <row r="118" spans="1:13" x14ac:dyDescent="0.25">
      <c r="A118" s="1" t="str">
        <f t="shared" ref="A118:E118" si="152">A59</f>
        <v>P205</v>
      </c>
      <c r="B118" s="1">
        <f t="shared" si="152"/>
        <v>205</v>
      </c>
      <c r="C118" s="1">
        <f t="shared" si="152"/>
        <v>2800</v>
      </c>
      <c r="D118" s="1">
        <f t="shared" si="152"/>
        <v>5</v>
      </c>
      <c r="E118" s="1">
        <f t="shared" si="152"/>
        <v>9</v>
      </c>
      <c r="F118" s="2">
        <f t="shared" si="94"/>
        <v>2</v>
      </c>
      <c r="H118" s="2">
        <v>6</v>
      </c>
      <c r="I118" s="2">
        <v>12</v>
      </c>
      <c r="J118" s="2">
        <v>0</v>
      </c>
      <c r="K118" s="2">
        <v>300.91800000000001</v>
      </c>
      <c r="M118" s="7">
        <f t="shared" si="101"/>
        <v>0</v>
      </c>
    </row>
    <row r="119" spans="1:13" x14ac:dyDescent="0.25">
      <c r="A119" s="1" t="str">
        <f t="shared" ref="A119:E119" si="153">A60</f>
        <v>P205</v>
      </c>
      <c r="B119" s="1">
        <f t="shared" si="153"/>
        <v>205</v>
      </c>
      <c r="C119" s="1">
        <f t="shared" si="153"/>
        <v>2832</v>
      </c>
      <c r="D119" s="1">
        <f t="shared" si="153"/>
        <v>5</v>
      </c>
      <c r="E119" s="1">
        <f t="shared" si="153"/>
        <v>9</v>
      </c>
      <c r="F119" s="2">
        <f t="shared" si="94"/>
        <v>2</v>
      </c>
      <c r="H119" s="2">
        <v>6</v>
      </c>
      <c r="I119" s="2">
        <v>12</v>
      </c>
      <c r="J119" s="2">
        <v>0</v>
      </c>
      <c r="K119" s="2">
        <v>300.947</v>
      </c>
      <c r="M119" s="7">
        <f t="shared" si="101"/>
        <v>0</v>
      </c>
    </row>
    <row r="120" spans="1:13" x14ac:dyDescent="0.25">
      <c r="A120" s="1" t="str">
        <f t="shared" ref="A120:E120" si="154">A61</f>
        <v>P9</v>
      </c>
      <c r="B120" s="1">
        <f t="shared" si="154"/>
        <v>9</v>
      </c>
      <c r="C120" s="1">
        <f t="shared" si="154"/>
        <v>3</v>
      </c>
      <c r="D120" s="1">
        <f t="shared" si="154"/>
        <v>3</v>
      </c>
      <c r="E120" s="1">
        <f t="shared" si="154"/>
        <v>6</v>
      </c>
      <c r="F120" s="2">
        <f t="shared" si="94"/>
        <v>3</v>
      </c>
      <c r="H120" s="2">
        <v>3</v>
      </c>
      <c r="I120" s="2">
        <v>6</v>
      </c>
      <c r="J120" s="2">
        <v>1</v>
      </c>
      <c r="K120" s="2">
        <v>1E-3</v>
      </c>
      <c r="M120" s="7">
        <f t="shared" si="101"/>
        <v>1</v>
      </c>
    </row>
    <row r="121" spans="1:13" x14ac:dyDescent="0.25">
      <c r="A121" s="1" t="str">
        <f t="shared" ref="A121:E121" si="155">A62</f>
        <v>P9</v>
      </c>
      <c r="B121" s="1">
        <f t="shared" si="155"/>
        <v>9</v>
      </c>
      <c r="C121" s="1">
        <f t="shared" si="155"/>
        <v>4</v>
      </c>
      <c r="D121" s="1">
        <f t="shared" si="155"/>
        <v>3</v>
      </c>
      <c r="E121" s="1">
        <f t="shared" si="155"/>
        <v>5</v>
      </c>
      <c r="F121" s="2">
        <f t="shared" si="94"/>
        <v>3</v>
      </c>
      <c r="H121" s="2">
        <v>3</v>
      </c>
      <c r="I121" s="2">
        <v>5</v>
      </c>
      <c r="J121" s="2">
        <v>1</v>
      </c>
      <c r="K121" s="2">
        <v>2E-3</v>
      </c>
      <c r="M121" s="7">
        <f t="shared" si="101"/>
        <v>1</v>
      </c>
    </row>
    <row r="122" spans="1:13" x14ac:dyDescent="0.25">
      <c r="A122" s="1" t="str">
        <f t="shared" ref="A122:E122" si="156">A63</f>
        <v>P9</v>
      </c>
      <c r="B122" s="1">
        <f t="shared" si="156"/>
        <v>9</v>
      </c>
      <c r="C122" s="1">
        <f t="shared" si="156"/>
        <v>5</v>
      </c>
      <c r="D122" s="1">
        <f t="shared" si="156"/>
        <v>2</v>
      </c>
      <c r="E122" s="1">
        <f t="shared" si="156"/>
        <v>4</v>
      </c>
      <c r="F122" s="2">
        <f t="shared" si="94"/>
        <v>3</v>
      </c>
      <c r="H122" s="2">
        <v>2</v>
      </c>
      <c r="I122" s="2">
        <v>4</v>
      </c>
      <c r="J122" s="2">
        <v>1</v>
      </c>
      <c r="K122" s="2">
        <v>2E-3</v>
      </c>
      <c r="M122" s="7">
        <f t="shared" si="101"/>
        <v>1</v>
      </c>
    </row>
    <row r="123" spans="1:13" x14ac:dyDescent="0.25">
      <c r="A123" s="1" t="str">
        <f t="shared" ref="A123:E123" si="157">A64</f>
        <v>P9</v>
      </c>
      <c r="B123" s="1">
        <f t="shared" si="157"/>
        <v>9</v>
      </c>
      <c r="C123" s="1">
        <f t="shared" si="157"/>
        <v>6</v>
      </c>
      <c r="D123" s="1">
        <f t="shared" si="157"/>
        <v>2</v>
      </c>
      <c r="E123" s="1">
        <f t="shared" si="157"/>
        <v>3</v>
      </c>
      <c r="F123" s="2">
        <f t="shared" si="94"/>
        <v>3</v>
      </c>
      <c r="H123" s="2">
        <v>2</v>
      </c>
      <c r="I123" s="2">
        <v>3</v>
      </c>
      <c r="J123" s="2">
        <v>1</v>
      </c>
      <c r="K123" s="2">
        <v>2E-3</v>
      </c>
      <c r="M123" s="7">
        <f t="shared" si="101"/>
        <v>1</v>
      </c>
    </row>
    <row r="124" spans="1:13" x14ac:dyDescent="0.25">
      <c r="A124" s="1" t="str">
        <f t="shared" ref="A124:E124" si="158">A65</f>
        <v>P9</v>
      </c>
      <c r="B124" s="1">
        <f t="shared" si="158"/>
        <v>9</v>
      </c>
      <c r="C124" s="1">
        <f t="shared" si="158"/>
        <v>7</v>
      </c>
      <c r="D124" s="1">
        <f t="shared" si="158"/>
        <v>2</v>
      </c>
      <c r="E124" s="1">
        <f t="shared" si="158"/>
        <v>3</v>
      </c>
      <c r="F124" s="2">
        <f t="shared" si="94"/>
        <v>3</v>
      </c>
      <c r="H124" s="2">
        <v>2</v>
      </c>
      <c r="I124" s="2">
        <v>3</v>
      </c>
      <c r="J124" s="2">
        <v>1</v>
      </c>
      <c r="K124" s="2">
        <v>5.0000000000000001E-3</v>
      </c>
      <c r="M124" s="7">
        <f t="shared" si="101"/>
        <v>1</v>
      </c>
    </row>
    <row r="125" spans="1:13" x14ac:dyDescent="0.25">
      <c r="A125" s="1" t="str">
        <f t="shared" ref="A125:E125" si="159">A66</f>
        <v>P12</v>
      </c>
      <c r="B125" s="1">
        <f t="shared" si="159"/>
        <v>12</v>
      </c>
      <c r="C125" s="1">
        <f t="shared" si="159"/>
        <v>4</v>
      </c>
      <c r="D125" s="1">
        <f t="shared" si="159"/>
        <v>4</v>
      </c>
      <c r="E125" s="1">
        <f t="shared" si="159"/>
        <v>7</v>
      </c>
      <c r="F125" s="2">
        <f t="shared" si="94"/>
        <v>3</v>
      </c>
      <c r="H125" s="2">
        <v>4</v>
      </c>
      <c r="I125" s="2">
        <v>7</v>
      </c>
      <c r="J125" s="2">
        <v>1</v>
      </c>
      <c r="K125" s="2">
        <v>2E-3</v>
      </c>
      <c r="M125" s="7">
        <f t="shared" si="101"/>
        <v>1</v>
      </c>
    </row>
    <row r="126" spans="1:13" x14ac:dyDescent="0.25">
      <c r="A126" s="1" t="str">
        <f t="shared" ref="A126:E126" si="160">A67</f>
        <v>P12</v>
      </c>
      <c r="B126" s="1">
        <f t="shared" si="160"/>
        <v>12</v>
      </c>
      <c r="C126" s="1">
        <f t="shared" si="160"/>
        <v>5</v>
      </c>
      <c r="D126" s="1">
        <f t="shared" si="160"/>
        <v>3</v>
      </c>
      <c r="E126" s="1">
        <f t="shared" si="160"/>
        <v>6</v>
      </c>
      <c r="F126" s="2">
        <f t="shared" ref="F126:F189" si="161">F67+1</f>
        <v>3</v>
      </c>
      <c r="H126" s="2">
        <v>3</v>
      </c>
      <c r="I126" s="2">
        <v>6</v>
      </c>
      <c r="J126" s="2">
        <v>1</v>
      </c>
      <c r="K126" s="2">
        <v>0.74399999999999999</v>
      </c>
      <c r="M126" s="7">
        <f t="shared" si="101"/>
        <v>1</v>
      </c>
    </row>
    <row r="127" spans="1:13" x14ac:dyDescent="0.25">
      <c r="A127" s="1" t="str">
        <f t="shared" ref="A127:E127" si="162">A68</f>
        <v>P12</v>
      </c>
      <c r="B127" s="1">
        <f t="shared" si="162"/>
        <v>12</v>
      </c>
      <c r="C127" s="1">
        <f t="shared" si="162"/>
        <v>6</v>
      </c>
      <c r="D127" s="1">
        <f t="shared" si="162"/>
        <v>3</v>
      </c>
      <c r="E127" s="1">
        <f t="shared" si="162"/>
        <v>5</v>
      </c>
      <c r="F127" s="2">
        <f t="shared" si="161"/>
        <v>3</v>
      </c>
      <c r="H127" s="2">
        <v>3</v>
      </c>
      <c r="I127" s="2">
        <v>5</v>
      </c>
      <c r="J127" s="2">
        <v>1</v>
      </c>
      <c r="K127" s="2">
        <v>2E-3</v>
      </c>
      <c r="M127" s="7">
        <f t="shared" si="101"/>
        <v>1</v>
      </c>
    </row>
    <row r="128" spans="1:13" x14ac:dyDescent="0.25">
      <c r="A128" s="1" t="str">
        <f t="shared" ref="A128:E128" si="163">A69</f>
        <v>P12</v>
      </c>
      <c r="B128" s="1">
        <f t="shared" si="163"/>
        <v>12</v>
      </c>
      <c r="C128" s="1">
        <f t="shared" si="163"/>
        <v>7</v>
      </c>
      <c r="D128" s="1">
        <f t="shared" si="163"/>
        <v>2</v>
      </c>
      <c r="E128" s="1">
        <f t="shared" si="163"/>
        <v>4</v>
      </c>
      <c r="F128" s="2">
        <f t="shared" si="161"/>
        <v>3</v>
      </c>
      <c r="H128" s="2">
        <v>2</v>
      </c>
      <c r="I128" s="2">
        <v>4</v>
      </c>
      <c r="J128" s="2">
        <v>1</v>
      </c>
      <c r="K128" s="2">
        <v>3.0000000000000001E-3</v>
      </c>
      <c r="M128" s="7">
        <f t="shared" si="101"/>
        <v>1</v>
      </c>
    </row>
    <row r="129" spans="1:13" x14ac:dyDescent="0.25">
      <c r="A129" s="1" t="str">
        <f t="shared" ref="A129:E129" si="164">A70</f>
        <v>P12</v>
      </c>
      <c r="B129" s="1">
        <f t="shared" si="164"/>
        <v>12</v>
      </c>
      <c r="C129" s="1">
        <f t="shared" si="164"/>
        <v>8</v>
      </c>
      <c r="D129" s="1">
        <f t="shared" si="164"/>
        <v>2</v>
      </c>
      <c r="E129" s="1">
        <f t="shared" si="164"/>
        <v>4</v>
      </c>
      <c r="F129" s="2">
        <f t="shared" si="161"/>
        <v>3</v>
      </c>
      <c r="H129" s="2">
        <v>2</v>
      </c>
      <c r="I129" s="2">
        <v>4</v>
      </c>
      <c r="J129" s="2">
        <v>1</v>
      </c>
      <c r="K129" s="2">
        <v>3.0000000000000001E-3</v>
      </c>
      <c r="M129" s="7">
        <f t="shared" si="101"/>
        <v>1</v>
      </c>
    </row>
    <row r="130" spans="1:13" x14ac:dyDescent="0.25">
      <c r="A130" s="1" t="str">
        <f t="shared" ref="A130:E130" si="165">A71</f>
        <v>P12</v>
      </c>
      <c r="B130" s="1">
        <f t="shared" si="165"/>
        <v>12</v>
      </c>
      <c r="C130" s="1">
        <f t="shared" si="165"/>
        <v>9</v>
      </c>
      <c r="D130" s="1">
        <f t="shared" si="165"/>
        <v>2</v>
      </c>
      <c r="E130" s="1">
        <f t="shared" si="165"/>
        <v>3</v>
      </c>
      <c r="F130" s="2">
        <f t="shared" si="161"/>
        <v>3</v>
      </c>
      <c r="H130" s="2">
        <v>2</v>
      </c>
      <c r="I130" s="2">
        <v>3</v>
      </c>
      <c r="J130" s="2">
        <v>1</v>
      </c>
      <c r="K130" s="2">
        <v>7.0000000000000001E-3</v>
      </c>
      <c r="M130" s="7">
        <f t="shared" si="101"/>
        <v>1</v>
      </c>
    </row>
    <row r="131" spans="1:13" x14ac:dyDescent="0.25">
      <c r="A131" s="1" t="str">
        <f t="shared" ref="A131:E131" si="166">A72</f>
        <v>P16</v>
      </c>
      <c r="B131" s="1">
        <f t="shared" si="166"/>
        <v>16</v>
      </c>
      <c r="C131" s="1">
        <f t="shared" si="166"/>
        <v>15</v>
      </c>
      <c r="D131" s="1">
        <f t="shared" si="166"/>
        <v>4</v>
      </c>
      <c r="E131" s="1">
        <f t="shared" si="166"/>
        <v>6</v>
      </c>
      <c r="F131" s="2">
        <f t="shared" si="161"/>
        <v>3</v>
      </c>
      <c r="H131" s="2">
        <v>4</v>
      </c>
      <c r="I131" s="2">
        <v>6</v>
      </c>
      <c r="J131" s="2">
        <v>1</v>
      </c>
      <c r="K131" s="2">
        <v>0.51800000000000002</v>
      </c>
      <c r="M131" s="7">
        <f t="shared" ref="M131:M194" si="167">IF(D131*100+E131=H131*100+I131,1,0)</f>
        <v>1</v>
      </c>
    </row>
    <row r="132" spans="1:13" x14ac:dyDescent="0.25">
      <c r="A132" s="1" t="str">
        <f t="shared" ref="A132:E132" si="168">A73</f>
        <v>P16</v>
      </c>
      <c r="B132" s="1">
        <f t="shared" si="168"/>
        <v>16</v>
      </c>
      <c r="C132" s="1">
        <f t="shared" si="168"/>
        <v>16</v>
      </c>
      <c r="D132" s="1">
        <f t="shared" si="168"/>
        <v>3</v>
      </c>
      <c r="E132" s="1">
        <f t="shared" si="168"/>
        <v>6</v>
      </c>
      <c r="F132" s="2">
        <f t="shared" si="161"/>
        <v>3</v>
      </c>
      <c r="H132" s="2">
        <v>3</v>
      </c>
      <c r="I132" s="2">
        <v>6</v>
      </c>
      <c r="J132" s="2">
        <v>1</v>
      </c>
      <c r="K132" s="2">
        <v>4.0000000000000001E-3</v>
      </c>
      <c r="M132" s="7">
        <f t="shared" si="167"/>
        <v>1</v>
      </c>
    </row>
    <row r="133" spans="1:13" x14ac:dyDescent="0.25">
      <c r="A133" s="1" t="str">
        <f t="shared" ref="A133:E133" si="169">A74</f>
        <v>P16</v>
      </c>
      <c r="B133" s="1">
        <f t="shared" si="169"/>
        <v>16</v>
      </c>
      <c r="C133" s="1">
        <f t="shared" si="169"/>
        <v>18</v>
      </c>
      <c r="D133" s="1">
        <f t="shared" si="169"/>
        <v>3</v>
      </c>
      <c r="E133" s="1">
        <f t="shared" si="169"/>
        <v>6</v>
      </c>
      <c r="F133" s="2">
        <f t="shared" si="161"/>
        <v>3</v>
      </c>
      <c r="H133" s="2">
        <v>3</v>
      </c>
      <c r="I133" s="2">
        <v>6</v>
      </c>
      <c r="J133" s="2">
        <v>1</v>
      </c>
      <c r="K133" s="2">
        <v>0.66700000000000004</v>
      </c>
      <c r="M133" s="7">
        <f t="shared" si="167"/>
        <v>1</v>
      </c>
    </row>
    <row r="134" spans="1:13" x14ac:dyDescent="0.25">
      <c r="A134" s="1" t="str">
        <f t="shared" ref="A134:E134" si="170">A75</f>
        <v>P16</v>
      </c>
      <c r="B134" s="1">
        <f t="shared" si="170"/>
        <v>16</v>
      </c>
      <c r="C134" s="1">
        <f t="shared" si="170"/>
        <v>19</v>
      </c>
      <c r="D134" s="1">
        <f t="shared" si="170"/>
        <v>3</v>
      </c>
      <c r="E134" s="1">
        <f t="shared" si="170"/>
        <v>5</v>
      </c>
      <c r="F134" s="2">
        <f t="shared" si="161"/>
        <v>3</v>
      </c>
      <c r="H134" s="2">
        <v>3</v>
      </c>
      <c r="I134" s="2">
        <v>5</v>
      </c>
      <c r="J134" s="2">
        <v>1</v>
      </c>
      <c r="K134" s="2">
        <v>0.58799999999999997</v>
      </c>
      <c r="M134" s="7">
        <f t="shared" si="167"/>
        <v>1</v>
      </c>
    </row>
    <row r="135" spans="1:13" x14ac:dyDescent="0.25">
      <c r="A135" s="1" t="str">
        <f t="shared" ref="A135:E135" si="171">A76</f>
        <v>P16</v>
      </c>
      <c r="B135" s="1">
        <f t="shared" si="171"/>
        <v>16</v>
      </c>
      <c r="C135" s="1">
        <f t="shared" si="171"/>
        <v>20</v>
      </c>
      <c r="D135" s="1">
        <f t="shared" si="171"/>
        <v>3</v>
      </c>
      <c r="E135" s="1">
        <f t="shared" si="171"/>
        <v>5</v>
      </c>
      <c r="F135" s="2">
        <f t="shared" si="161"/>
        <v>3</v>
      </c>
      <c r="H135" s="2">
        <v>3</v>
      </c>
      <c r="I135" s="2">
        <v>5</v>
      </c>
      <c r="J135" s="2">
        <v>1</v>
      </c>
      <c r="K135" s="2">
        <v>0.59</v>
      </c>
      <c r="M135" s="7">
        <f t="shared" si="167"/>
        <v>1</v>
      </c>
    </row>
    <row r="136" spans="1:13" x14ac:dyDescent="0.25">
      <c r="A136" s="1" t="str">
        <f t="shared" ref="A136:E136" si="172">A77</f>
        <v>P16</v>
      </c>
      <c r="B136" s="1">
        <f t="shared" si="172"/>
        <v>16</v>
      </c>
      <c r="C136" s="1">
        <f t="shared" si="172"/>
        <v>21</v>
      </c>
      <c r="D136" s="1">
        <f t="shared" si="172"/>
        <v>3</v>
      </c>
      <c r="E136" s="1">
        <f t="shared" si="172"/>
        <v>5</v>
      </c>
      <c r="F136" s="2">
        <f t="shared" si="161"/>
        <v>3</v>
      </c>
      <c r="H136" s="2">
        <v>3</v>
      </c>
      <c r="I136" s="2">
        <v>5</v>
      </c>
      <c r="J136" s="2">
        <v>1</v>
      </c>
      <c r="K136" s="2">
        <v>0.67300000000000004</v>
      </c>
      <c r="M136" s="7">
        <f t="shared" si="167"/>
        <v>1</v>
      </c>
    </row>
    <row r="137" spans="1:13" x14ac:dyDescent="0.25">
      <c r="A137" s="1" t="str">
        <f t="shared" ref="A137:E137" si="173">A78</f>
        <v>P16</v>
      </c>
      <c r="B137" s="1">
        <f t="shared" si="173"/>
        <v>16</v>
      </c>
      <c r="C137" s="1">
        <f t="shared" si="173"/>
        <v>22</v>
      </c>
      <c r="D137" s="1">
        <f t="shared" si="173"/>
        <v>2</v>
      </c>
      <c r="E137" s="1">
        <f t="shared" si="173"/>
        <v>4</v>
      </c>
      <c r="F137" s="2">
        <f t="shared" si="161"/>
        <v>3</v>
      </c>
      <c r="H137" s="2">
        <v>2</v>
      </c>
      <c r="I137" s="2">
        <v>4</v>
      </c>
      <c r="J137" s="2">
        <v>1</v>
      </c>
      <c r="K137" s="2">
        <v>0.01</v>
      </c>
      <c r="M137" s="7">
        <f t="shared" si="167"/>
        <v>1</v>
      </c>
    </row>
    <row r="138" spans="1:13" x14ac:dyDescent="0.25">
      <c r="A138" s="1" t="str">
        <f t="shared" ref="A138:E138" si="174">A79</f>
        <v>P24</v>
      </c>
      <c r="B138" s="1">
        <f t="shared" si="174"/>
        <v>24</v>
      </c>
      <c r="C138" s="1">
        <f t="shared" si="174"/>
        <v>18</v>
      </c>
      <c r="D138" s="1">
        <f t="shared" si="174"/>
        <v>4</v>
      </c>
      <c r="E138" s="1">
        <f t="shared" si="174"/>
        <v>8</v>
      </c>
      <c r="F138" s="2">
        <f t="shared" si="161"/>
        <v>3</v>
      </c>
      <c r="H138" s="2">
        <v>4</v>
      </c>
      <c r="I138" s="2">
        <v>8</v>
      </c>
      <c r="J138" s="2">
        <v>1</v>
      </c>
      <c r="K138" s="2">
        <v>4.2999999999999997E-2</v>
      </c>
      <c r="M138" s="7">
        <f t="shared" si="167"/>
        <v>1</v>
      </c>
    </row>
    <row r="139" spans="1:13" x14ac:dyDescent="0.25">
      <c r="A139" s="1" t="str">
        <f t="shared" ref="A139:E139" si="175">A80</f>
        <v>P24</v>
      </c>
      <c r="B139" s="1">
        <f t="shared" si="175"/>
        <v>24</v>
      </c>
      <c r="C139" s="1">
        <f t="shared" si="175"/>
        <v>20</v>
      </c>
      <c r="D139" s="1">
        <f t="shared" si="175"/>
        <v>4</v>
      </c>
      <c r="E139" s="1">
        <f t="shared" si="175"/>
        <v>7</v>
      </c>
      <c r="F139" s="2">
        <f t="shared" si="161"/>
        <v>3</v>
      </c>
      <c r="H139" s="2">
        <v>4</v>
      </c>
      <c r="I139" s="2">
        <v>7</v>
      </c>
      <c r="J139" s="2">
        <v>1</v>
      </c>
      <c r="K139" s="2">
        <v>4.6020000000000003</v>
      </c>
      <c r="M139" s="7">
        <f t="shared" si="167"/>
        <v>1</v>
      </c>
    </row>
    <row r="140" spans="1:13" x14ac:dyDescent="0.25">
      <c r="A140" s="1" t="str">
        <f t="shared" ref="A140:E140" si="176">A81</f>
        <v>P24</v>
      </c>
      <c r="B140" s="1">
        <f t="shared" si="176"/>
        <v>24</v>
      </c>
      <c r="C140" s="1">
        <f t="shared" si="176"/>
        <v>24</v>
      </c>
      <c r="D140" s="1">
        <f t="shared" si="176"/>
        <v>3</v>
      </c>
      <c r="E140" s="1">
        <f t="shared" si="176"/>
        <v>6</v>
      </c>
      <c r="F140" s="2">
        <f t="shared" si="161"/>
        <v>3</v>
      </c>
      <c r="H140" s="2">
        <v>3</v>
      </c>
      <c r="I140" s="2">
        <v>6</v>
      </c>
      <c r="J140" s="2">
        <v>1</v>
      </c>
      <c r="K140" s="2">
        <v>0.04</v>
      </c>
      <c r="M140" s="7">
        <f t="shared" si="167"/>
        <v>1</v>
      </c>
    </row>
    <row r="141" spans="1:13" x14ac:dyDescent="0.25">
      <c r="A141" s="1" t="str">
        <f t="shared" ref="A141:E141" si="177">A82</f>
        <v>P24</v>
      </c>
      <c r="B141" s="1">
        <f t="shared" si="177"/>
        <v>24</v>
      </c>
      <c r="C141" s="1">
        <f t="shared" si="177"/>
        <v>25</v>
      </c>
      <c r="D141" s="1">
        <f t="shared" si="177"/>
        <v>3</v>
      </c>
      <c r="E141" s="1">
        <f t="shared" si="177"/>
        <v>6</v>
      </c>
      <c r="F141" s="2">
        <f t="shared" si="161"/>
        <v>3</v>
      </c>
      <c r="H141" s="2">
        <v>3</v>
      </c>
      <c r="I141" s="2">
        <v>6</v>
      </c>
      <c r="J141" s="2">
        <v>1</v>
      </c>
      <c r="K141" s="2">
        <v>4.2000000000000003E-2</v>
      </c>
      <c r="M141" s="7">
        <f t="shared" si="167"/>
        <v>1</v>
      </c>
    </row>
    <row r="142" spans="1:13" x14ac:dyDescent="0.25">
      <c r="A142" s="1" t="str">
        <f t="shared" ref="A142:E142" si="178">A83</f>
        <v>P24</v>
      </c>
      <c r="B142" s="1">
        <f t="shared" si="178"/>
        <v>24</v>
      </c>
      <c r="C142" s="1">
        <f t="shared" si="178"/>
        <v>30</v>
      </c>
      <c r="D142" s="1">
        <f t="shared" si="178"/>
        <v>3</v>
      </c>
      <c r="E142" s="1">
        <f t="shared" si="178"/>
        <v>5</v>
      </c>
      <c r="F142" s="2">
        <f t="shared" si="161"/>
        <v>3</v>
      </c>
      <c r="H142" s="2">
        <v>3</v>
      </c>
      <c r="I142" s="2">
        <v>5</v>
      </c>
      <c r="J142" s="2">
        <v>1</v>
      </c>
      <c r="K142" s="2">
        <v>4.2999999999999997E-2</v>
      </c>
      <c r="M142" s="7">
        <f t="shared" si="167"/>
        <v>1</v>
      </c>
    </row>
    <row r="143" spans="1:13" x14ac:dyDescent="0.25">
      <c r="A143" s="1" t="str">
        <f t="shared" ref="A143:E143" si="179">A84</f>
        <v>P24</v>
      </c>
      <c r="B143" s="1">
        <f t="shared" si="179"/>
        <v>24</v>
      </c>
      <c r="C143" s="1">
        <f t="shared" si="179"/>
        <v>35</v>
      </c>
      <c r="D143" s="1">
        <f t="shared" si="179"/>
        <v>2</v>
      </c>
      <c r="E143" s="1">
        <f t="shared" si="179"/>
        <v>4</v>
      </c>
      <c r="F143" s="2">
        <f t="shared" si="161"/>
        <v>3</v>
      </c>
      <c r="H143" s="2">
        <v>2</v>
      </c>
      <c r="I143" s="2">
        <v>4</v>
      </c>
      <c r="J143" s="2">
        <v>1</v>
      </c>
      <c r="K143" s="2">
        <v>4.8000000000000001E-2</v>
      </c>
      <c r="M143" s="7">
        <f t="shared" si="167"/>
        <v>1</v>
      </c>
    </row>
    <row r="144" spans="1:13" x14ac:dyDescent="0.25">
      <c r="A144" s="1" t="str">
        <f t="shared" ref="A144:E144" si="180">A85</f>
        <v>P24</v>
      </c>
      <c r="B144" s="1">
        <f t="shared" si="180"/>
        <v>24</v>
      </c>
      <c r="C144" s="1">
        <f t="shared" si="180"/>
        <v>40</v>
      </c>
      <c r="D144" s="1">
        <f t="shared" si="180"/>
        <v>2</v>
      </c>
      <c r="E144" s="1">
        <f t="shared" si="180"/>
        <v>4</v>
      </c>
      <c r="F144" s="2">
        <f t="shared" si="161"/>
        <v>3</v>
      </c>
      <c r="H144" s="2">
        <v>2</v>
      </c>
      <c r="I144" s="2">
        <v>4</v>
      </c>
      <c r="J144" s="2">
        <v>1</v>
      </c>
      <c r="K144" s="2">
        <v>4.7E-2</v>
      </c>
      <c r="M144" s="7">
        <f t="shared" si="167"/>
        <v>1</v>
      </c>
    </row>
    <row r="145" spans="1:13" x14ac:dyDescent="0.25">
      <c r="A145" s="1" t="str">
        <f t="shared" ref="A145:E145" si="181">A86</f>
        <v>P65</v>
      </c>
      <c r="B145" s="1">
        <f t="shared" si="181"/>
        <v>65</v>
      </c>
      <c r="C145" s="1">
        <f t="shared" si="181"/>
        <v>326</v>
      </c>
      <c r="D145" s="1">
        <f t="shared" si="181"/>
        <v>8</v>
      </c>
      <c r="E145" s="1">
        <f t="shared" si="181"/>
        <v>16</v>
      </c>
      <c r="F145" s="2">
        <f t="shared" si="161"/>
        <v>3</v>
      </c>
      <c r="H145" s="2">
        <v>8</v>
      </c>
      <c r="I145" s="2">
        <v>16</v>
      </c>
      <c r="J145" s="2">
        <v>1</v>
      </c>
      <c r="K145" s="2">
        <v>0.14799999999999999</v>
      </c>
      <c r="M145" s="7">
        <f t="shared" si="167"/>
        <v>1</v>
      </c>
    </row>
    <row r="146" spans="1:13" x14ac:dyDescent="0.25">
      <c r="A146" s="1" t="str">
        <f t="shared" ref="A146:E146" si="182">A87</f>
        <v>P65</v>
      </c>
      <c r="B146" s="1">
        <f t="shared" si="182"/>
        <v>65</v>
      </c>
      <c r="C146" s="1">
        <f t="shared" si="182"/>
        <v>381</v>
      </c>
      <c r="D146" s="1">
        <f t="shared" si="182"/>
        <v>7</v>
      </c>
      <c r="E146" s="1">
        <f t="shared" si="182"/>
        <v>14</v>
      </c>
      <c r="F146" s="2">
        <f t="shared" si="161"/>
        <v>3</v>
      </c>
      <c r="H146" s="2">
        <v>7</v>
      </c>
      <c r="I146" s="2">
        <v>14</v>
      </c>
      <c r="J146" s="2">
        <v>1</v>
      </c>
      <c r="K146" s="2">
        <v>0.14699999999999999</v>
      </c>
      <c r="M146" s="7">
        <f t="shared" si="167"/>
        <v>1</v>
      </c>
    </row>
    <row r="147" spans="1:13" x14ac:dyDescent="0.25">
      <c r="A147" s="1" t="str">
        <f t="shared" ref="A147:E147" si="183">A88</f>
        <v>P65</v>
      </c>
      <c r="B147" s="1">
        <f t="shared" si="183"/>
        <v>65</v>
      </c>
      <c r="C147" s="1">
        <f t="shared" si="183"/>
        <v>435</v>
      </c>
      <c r="D147" s="1">
        <f t="shared" si="183"/>
        <v>6</v>
      </c>
      <c r="E147" s="1">
        <f t="shared" si="183"/>
        <v>12</v>
      </c>
      <c r="F147" s="2">
        <f t="shared" si="161"/>
        <v>3</v>
      </c>
      <c r="H147" s="2">
        <v>6</v>
      </c>
      <c r="I147" s="2">
        <v>12</v>
      </c>
      <c r="J147" s="2">
        <v>1</v>
      </c>
      <c r="K147" s="2">
        <v>4.78</v>
      </c>
      <c r="M147" s="7">
        <f t="shared" si="167"/>
        <v>1</v>
      </c>
    </row>
    <row r="148" spans="1:13" x14ac:dyDescent="0.25">
      <c r="A148" s="1" t="str">
        <f t="shared" ref="A148:E148" si="184">A89</f>
        <v>P65</v>
      </c>
      <c r="B148" s="1">
        <f t="shared" si="184"/>
        <v>65</v>
      </c>
      <c r="C148" s="1">
        <f t="shared" si="184"/>
        <v>490</v>
      </c>
      <c r="D148" s="1">
        <f t="shared" si="184"/>
        <v>6</v>
      </c>
      <c r="E148" s="1">
        <f t="shared" si="184"/>
        <v>11</v>
      </c>
      <c r="F148" s="2">
        <f t="shared" si="161"/>
        <v>3</v>
      </c>
      <c r="H148" s="2">
        <v>6</v>
      </c>
      <c r="I148" s="2">
        <v>11</v>
      </c>
      <c r="J148" s="2">
        <v>1</v>
      </c>
      <c r="K148" s="2">
        <v>8.3829999999999991</v>
      </c>
      <c r="M148" s="7">
        <f t="shared" si="167"/>
        <v>1</v>
      </c>
    </row>
    <row r="149" spans="1:13" x14ac:dyDescent="0.25">
      <c r="A149" s="1" t="str">
        <f t="shared" ref="A149:E149" si="185">A90</f>
        <v>P65</v>
      </c>
      <c r="B149" s="1">
        <f t="shared" si="185"/>
        <v>65</v>
      </c>
      <c r="C149" s="1">
        <f t="shared" si="185"/>
        <v>512</v>
      </c>
      <c r="D149" s="1">
        <f t="shared" si="185"/>
        <v>5</v>
      </c>
      <c r="E149" s="1">
        <f t="shared" si="185"/>
        <v>10</v>
      </c>
      <c r="F149" s="2">
        <f t="shared" si="161"/>
        <v>3</v>
      </c>
      <c r="H149" s="2">
        <v>6</v>
      </c>
      <c r="I149" s="2">
        <v>10</v>
      </c>
      <c r="J149" s="2">
        <v>0</v>
      </c>
      <c r="K149" s="2">
        <v>300.12200000000001</v>
      </c>
      <c r="M149" s="7">
        <f t="shared" si="167"/>
        <v>0</v>
      </c>
    </row>
    <row r="150" spans="1:13" x14ac:dyDescent="0.25">
      <c r="A150" s="1" t="str">
        <f t="shared" ref="A150:E150" si="186">A91</f>
        <v>P65</v>
      </c>
      <c r="B150" s="1">
        <f t="shared" si="186"/>
        <v>65</v>
      </c>
      <c r="C150" s="1">
        <f t="shared" si="186"/>
        <v>544</v>
      </c>
      <c r="D150" s="1">
        <f t="shared" si="186"/>
        <v>5</v>
      </c>
      <c r="E150" s="1">
        <f t="shared" si="186"/>
        <v>10</v>
      </c>
      <c r="F150" s="2">
        <f t="shared" si="161"/>
        <v>3</v>
      </c>
      <c r="H150" s="2">
        <v>5</v>
      </c>
      <c r="I150" s="2">
        <v>10</v>
      </c>
      <c r="J150" s="2">
        <v>1</v>
      </c>
      <c r="K150" s="2">
        <v>11.206</v>
      </c>
      <c r="M150" s="7">
        <f t="shared" si="167"/>
        <v>1</v>
      </c>
    </row>
    <row r="151" spans="1:13" x14ac:dyDescent="0.25">
      <c r="A151" s="1" t="str">
        <f t="shared" ref="A151:E151" si="187">A92</f>
        <v>P148</v>
      </c>
      <c r="B151" s="1">
        <f t="shared" si="187"/>
        <v>148</v>
      </c>
      <c r="C151" s="1">
        <f t="shared" si="187"/>
        <v>204</v>
      </c>
      <c r="D151" s="1">
        <f t="shared" si="187"/>
        <v>13</v>
      </c>
      <c r="E151" s="1">
        <f t="shared" si="187"/>
        <v>26</v>
      </c>
      <c r="F151" s="2">
        <f t="shared" si="161"/>
        <v>3</v>
      </c>
      <c r="H151" s="2">
        <v>14</v>
      </c>
      <c r="I151" s="2">
        <v>26</v>
      </c>
      <c r="J151" s="2">
        <v>0</v>
      </c>
      <c r="K151" s="2">
        <v>301.05799999999999</v>
      </c>
      <c r="M151" s="7">
        <f t="shared" si="167"/>
        <v>0</v>
      </c>
    </row>
    <row r="152" spans="1:13" x14ac:dyDescent="0.25">
      <c r="A152" s="1" t="str">
        <f t="shared" ref="A152:E152" si="188">A93</f>
        <v>P148</v>
      </c>
      <c r="B152" s="1">
        <f t="shared" si="188"/>
        <v>148</v>
      </c>
      <c r="C152" s="1">
        <f t="shared" si="188"/>
        <v>228</v>
      </c>
      <c r="D152" s="1">
        <f t="shared" si="188"/>
        <v>12</v>
      </c>
      <c r="E152" s="1">
        <f t="shared" si="188"/>
        <v>23</v>
      </c>
      <c r="F152" s="2">
        <f t="shared" si="161"/>
        <v>3</v>
      </c>
      <c r="H152" s="2">
        <v>12</v>
      </c>
      <c r="I152" s="2">
        <v>23</v>
      </c>
      <c r="J152" s="2">
        <v>1</v>
      </c>
      <c r="K152" s="2">
        <v>149.11799999999999</v>
      </c>
      <c r="M152" s="7">
        <f t="shared" si="167"/>
        <v>1</v>
      </c>
    </row>
    <row r="153" spans="1:13" x14ac:dyDescent="0.25">
      <c r="A153" s="1" t="str">
        <f t="shared" ref="A153:E153" si="189">A94</f>
        <v>P148</v>
      </c>
      <c r="B153" s="1">
        <f t="shared" si="189"/>
        <v>148</v>
      </c>
      <c r="C153" s="1">
        <f t="shared" si="189"/>
        <v>255</v>
      </c>
      <c r="D153" s="1">
        <f t="shared" si="189"/>
        <v>11</v>
      </c>
      <c r="E153" s="1">
        <f t="shared" si="189"/>
        <v>21</v>
      </c>
      <c r="F153" s="2">
        <f t="shared" si="161"/>
        <v>3</v>
      </c>
      <c r="H153" s="2">
        <v>11</v>
      </c>
      <c r="I153" s="2">
        <v>21</v>
      </c>
      <c r="J153" s="2">
        <v>1</v>
      </c>
      <c r="K153" s="2">
        <v>49.68</v>
      </c>
      <c r="M153" s="7">
        <f t="shared" si="167"/>
        <v>1</v>
      </c>
    </row>
    <row r="154" spans="1:13" x14ac:dyDescent="0.25">
      <c r="A154" s="1" t="str">
        <f t="shared" ref="A154:E154" si="190">A95</f>
        <v>P148</v>
      </c>
      <c r="B154" s="1">
        <f t="shared" si="190"/>
        <v>148</v>
      </c>
      <c r="C154" s="1">
        <f t="shared" si="190"/>
        <v>306</v>
      </c>
      <c r="D154" s="1">
        <f t="shared" si="190"/>
        <v>9</v>
      </c>
      <c r="E154" s="1">
        <f t="shared" si="190"/>
        <v>17</v>
      </c>
      <c r="F154" s="2">
        <f t="shared" si="161"/>
        <v>3</v>
      </c>
      <c r="H154" s="2">
        <v>9</v>
      </c>
      <c r="I154" s="2">
        <v>18</v>
      </c>
      <c r="J154" s="2">
        <v>0</v>
      </c>
      <c r="K154" s="2">
        <v>301.02199999999999</v>
      </c>
      <c r="M154" s="7">
        <f t="shared" si="167"/>
        <v>0</v>
      </c>
    </row>
    <row r="155" spans="1:13" x14ac:dyDescent="0.25">
      <c r="A155" s="1" t="str">
        <f t="shared" ref="A155:E155" si="191">A96</f>
        <v>P148</v>
      </c>
      <c r="B155" s="1">
        <f t="shared" si="191"/>
        <v>148</v>
      </c>
      <c r="C155" s="1">
        <f t="shared" si="191"/>
        <v>357</v>
      </c>
      <c r="D155" s="1">
        <f t="shared" si="191"/>
        <v>8</v>
      </c>
      <c r="E155" s="1">
        <f t="shared" si="191"/>
        <v>15</v>
      </c>
      <c r="F155" s="2">
        <f t="shared" si="161"/>
        <v>3</v>
      </c>
      <c r="H155" s="2">
        <v>8</v>
      </c>
      <c r="I155" s="2">
        <v>15</v>
      </c>
      <c r="J155" s="2">
        <v>1</v>
      </c>
      <c r="K155" s="2">
        <v>5.0209999999999999</v>
      </c>
      <c r="M155" s="7">
        <f t="shared" si="167"/>
        <v>1</v>
      </c>
    </row>
    <row r="156" spans="1:13" x14ac:dyDescent="0.25">
      <c r="A156" s="1" t="str">
        <f t="shared" ref="A156:E156" si="192">A97</f>
        <v>P148</v>
      </c>
      <c r="B156" s="1">
        <f t="shared" si="192"/>
        <v>148</v>
      </c>
      <c r="C156" s="1">
        <f t="shared" si="192"/>
        <v>378</v>
      </c>
      <c r="D156" s="1">
        <f t="shared" si="192"/>
        <v>7</v>
      </c>
      <c r="E156" s="1">
        <f t="shared" si="192"/>
        <v>14</v>
      </c>
      <c r="F156" s="2">
        <f t="shared" si="161"/>
        <v>3</v>
      </c>
      <c r="H156" s="2">
        <v>8</v>
      </c>
      <c r="I156" s="2">
        <v>14</v>
      </c>
      <c r="J156" s="2">
        <v>0</v>
      </c>
      <c r="K156" s="2">
        <v>301.33300000000003</v>
      </c>
      <c r="M156" s="7">
        <f t="shared" si="167"/>
        <v>0</v>
      </c>
    </row>
    <row r="157" spans="1:13" x14ac:dyDescent="0.25">
      <c r="A157" s="1" t="str">
        <f t="shared" ref="A157:E157" si="193">A98</f>
        <v>P148</v>
      </c>
      <c r="B157" s="1">
        <f t="shared" si="193"/>
        <v>148</v>
      </c>
      <c r="C157" s="1">
        <f t="shared" si="193"/>
        <v>408</v>
      </c>
      <c r="D157" s="1">
        <f t="shared" si="193"/>
        <v>7</v>
      </c>
      <c r="E157" s="1">
        <f t="shared" si="193"/>
        <v>13</v>
      </c>
      <c r="F157" s="2">
        <f t="shared" si="161"/>
        <v>3</v>
      </c>
      <c r="H157" s="2">
        <v>8</v>
      </c>
      <c r="I157" s="2">
        <v>13</v>
      </c>
      <c r="J157" s="2">
        <v>0</v>
      </c>
      <c r="K157" s="2">
        <v>300.887</v>
      </c>
      <c r="M157" s="7">
        <f t="shared" si="167"/>
        <v>0</v>
      </c>
    </row>
    <row r="158" spans="1:13" x14ac:dyDescent="0.25">
      <c r="A158" s="1" t="str">
        <f t="shared" ref="A158:E158" si="194">A99</f>
        <v>P148</v>
      </c>
      <c r="B158" s="1">
        <f t="shared" si="194"/>
        <v>148</v>
      </c>
      <c r="C158" s="1">
        <f t="shared" si="194"/>
        <v>454</v>
      </c>
      <c r="D158" s="1">
        <f t="shared" si="194"/>
        <v>6</v>
      </c>
      <c r="E158" s="1">
        <f t="shared" si="194"/>
        <v>12</v>
      </c>
      <c r="F158" s="2">
        <f t="shared" si="161"/>
        <v>3</v>
      </c>
      <c r="H158" s="2">
        <v>7</v>
      </c>
      <c r="I158" s="2">
        <v>12</v>
      </c>
      <c r="J158" s="2">
        <v>0</v>
      </c>
      <c r="K158" s="2">
        <v>300.12700000000001</v>
      </c>
      <c r="M158" s="7">
        <f t="shared" si="167"/>
        <v>0</v>
      </c>
    </row>
    <row r="159" spans="1:13" x14ac:dyDescent="0.25">
      <c r="A159" s="1" t="str">
        <f t="shared" ref="A159:E159" si="195">A100</f>
        <v>P148</v>
      </c>
      <c r="B159" s="1">
        <f t="shared" si="195"/>
        <v>148</v>
      </c>
      <c r="C159" s="1">
        <f t="shared" si="195"/>
        <v>459</v>
      </c>
      <c r="D159" s="1">
        <f t="shared" si="195"/>
        <v>6</v>
      </c>
      <c r="E159" s="1">
        <f t="shared" si="195"/>
        <v>12</v>
      </c>
      <c r="F159" s="2">
        <f t="shared" si="161"/>
        <v>3</v>
      </c>
      <c r="H159" s="2">
        <v>7</v>
      </c>
      <c r="I159" s="2">
        <v>12</v>
      </c>
      <c r="J159" s="2">
        <v>0</v>
      </c>
      <c r="K159" s="2">
        <v>300.80200000000002</v>
      </c>
      <c r="M159" s="7">
        <f t="shared" si="167"/>
        <v>0</v>
      </c>
    </row>
    <row r="160" spans="1:13" x14ac:dyDescent="0.25">
      <c r="A160" s="1" t="str">
        <f t="shared" ref="A160:E160" si="196">A101</f>
        <v>P148</v>
      </c>
      <c r="B160" s="1">
        <f t="shared" si="196"/>
        <v>148</v>
      </c>
      <c r="C160" s="1">
        <f t="shared" si="196"/>
        <v>510</v>
      </c>
      <c r="D160" s="1">
        <f t="shared" si="196"/>
        <v>6</v>
      </c>
      <c r="E160" s="1">
        <f t="shared" si="196"/>
        <v>11</v>
      </c>
      <c r="F160" s="2">
        <f t="shared" si="161"/>
        <v>3</v>
      </c>
      <c r="H160" s="2">
        <v>7</v>
      </c>
      <c r="I160" s="2">
        <v>11</v>
      </c>
      <c r="J160" s="2">
        <v>0</v>
      </c>
      <c r="K160" s="2">
        <v>300.96300000000002</v>
      </c>
      <c r="M160" s="7">
        <f t="shared" si="167"/>
        <v>0</v>
      </c>
    </row>
    <row r="161" spans="1:13" x14ac:dyDescent="0.25">
      <c r="A161" s="1" t="str">
        <f t="shared" ref="A161:E161" si="197">A102</f>
        <v>P205</v>
      </c>
      <c r="B161" s="1">
        <f t="shared" si="197"/>
        <v>205</v>
      </c>
      <c r="C161" s="1">
        <f t="shared" si="197"/>
        <v>1133</v>
      </c>
      <c r="D161" s="1">
        <f t="shared" si="197"/>
        <v>11</v>
      </c>
      <c r="E161" s="1">
        <f t="shared" si="197"/>
        <v>21</v>
      </c>
      <c r="F161" s="2">
        <f t="shared" si="161"/>
        <v>3</v>
      </c>
      <c r="H161" s="2">
        <v>11</v>
      </c>
      <c r="I161" s="2">
        <v>22</v>
      </c>
      <c r="J161" s="2">
        <v>0</v>
      </c>
      <c r="K161" s="2">
        <v>300.89499999999998</v>
      </c>
      <c r="M161" s="7">
        <f t="shared" si="167"/>
        <v>0</v>
      </c>
    </row>
    <row r="162" spans="1:13" x14ac:dyDescent="0.25">
      <c r="A162" s="1" t="str">
        <f t="shared" ref="A162:E162" si="198">A103</f>
        <v>P205</v>
      </c>
      <c r="B162" s="1">
        <f t="shared" si="198"/>
        <v>205</v>
      </c>
      <c r="C162" s="1">
        <f t="shared" si="198"/>
        <v>1275</v>
      </c>
      <c r="D162" s="1">
        <f t="shared" si="198"/>
        <v>10</v>
      </c>
      <c r="E162" s="1">
        <f t="shared" si="198"/>
        <v>19</v>
      </c>
      <c r="F162" s="2">
        <f t="shared" si="161"/>
        <v>3</v>
      </c>
      <c r="H162" s="2">
        <v>11</v>
      </c>
      <c r="I162" s="2">
        <v>22</v>
      </c>
      <c r="J162" s="2">
        <v>0</v>
      </c>
      <c r="K162" s="2">
        <v>300.91300000000001</v>
      </c>
      <c r="M162" s="7">
        <f t="shared" si="167"/>
        <v>0</v>
      </c>
    </row>
    <row r="163" spans="1:13" x14ac:dyDescent="0.25">
      <c r="A163" s="1" t="str">
        <f t="shared" ref="A163:E163" si="199">A104</f>
        <v>P205</v>
      </c>
      <c r="B163" s="1">
        <f t="shared" si="199"/>
        <v>205</v>
      </c>
      <c r="C163" s="1">
        <f t="shared" si="199"/>
        <v>1322</v>
      </c>
      <c r="D163" s="1">
        <f t="shared" si="199"/>
        <v>9</v>
      </c>
      <c r="E163" s="1">
        <f t="shared" si="199"/>
        <v>18</v>
      </c>
      <c r="F163" s="2">
        <f t="shared" si="161"/>
        <v>3</v>
      </c>
      <c r="H163" s="2">
        <v>10</v>
      </c>
      <c r="I163" s="2">
        <v>19</v>
      </c>
      <c r="J163" s="2">
        <v>0</v>
      </c>
      <c r="K163" s="2">
        <v>300.67899999999997</v>
      </c>
      <c r="M163" s="7">
        <f t="shared" si="167"/>
        <v>0</v>
      </c>
    </row>
    <row r="164" spans="1:13" x14ac:dyDescent="0.25">
      <c r="A164" s="1" t="str">
        <f t="shared" ref="A164:E164" si="200">A105</f>
        <v>P205</v>
      </c>
      <c r="B164" s="1">
        <f t="shared" si="200"/>
        <v>205</v>
      </c>
      <c r="C164" s="1">
        <f t="shared" si="200"/>
        <v>1455</v>
      </c>
      <c r="D164" s="1">
        <f t="shared" si="200"/>
        <v>9</v>
      </c>
      <c r="E164" s="1">
        <f t="shared" si="200"/>
        <v>17</v>
      </c>
      <c r="F164" s="2">
        <f t="shared" si="161"/>
        <v>3</v>
      </c>
      <c r="H164" s="2">
        <v>10</v>
      </c>
      <c r="I164" s="2">
        <v>18</v>
      </c>
      <c r="J164" s="2">
        <v>0</v>
      </c>
      <c r="K164" s="2">
        <v>301.09500000000003</v>
      </c>
      <c r="M164" s="7">
        <f t="shared" si="167"/>
        <v>0</v>
      </c>
    </row>
    <row r="165" spans="1:13" x14ac:dyDescent="0.25">
      <c r="A165" s="1" t="str">
        <f t="shared" ref="A165:E165" si="201">A106</f>
        <v>P205</v>
      </c>
      <c r="B165" s="1">
        <f t="shared" si="201"/>
        <v>205</v>
      </c>
      <c r="C165" s="1">
        <f t="shared" si="201"/>
        <v>1510</v>
      </c>
      <c r="D165" s="1">
        <f t="shared" si="201"/>
        <v>8</v>
      </c>
      <c r="E165" s="1">
        <f t="shared" si="201"/>
        <v>16</v>
      </c>
      <c r="F165" s="2">
        <f t="shared" si="161"/>
        <v>3</v>
      </c>
      <c r="H165" s="2">
        <v>9</v>
      </c>
      <c r="I165" s="2">
        <v>18</v>
      </c>
      <c r="J165" s="2">
        <v>0</v>
      </c>
      <c r="K165" s="2">
        <v>301.51499999999999</v>
      </c>
      <c r="M165" s="7">
        <f t="shared" si="167"/>
        <v>0</v>
      </c>
    </row>
    <row r="166" spans="1:13" x14ac:dyDescent="0.25">
      <c r="A166" s="1" t="str">
        <f t="shared" ref="A166:E166" si="202">A107</f>
        <v>P205</v>
      </c>
      <c r="B166" s="1">
        <f t="shared" si="202"/>
        <v>205</v>
      </c>
      <c r="C166" s="1">
        <f t="shared" si="202"/>
        <v>1650</v>
      </c>
      <c r="D166" s="1">
        <f t="shared" si="202"/>
        <v>8</v>
      </c>
      <c r="E166" s="1">
        <f t="shared" si="202"/>
        <v>15</v>
      </c>
      <c r="F166" s="2">
        <f t="shared" si="161"/>
        <v>3</v>
      </c>
      <c r="H166" s="2">
        <v>9</v>
      </c>
      <c r="I166" s="2">
        <v>18</v>
      </c>
      <c r="J166" s="2">
        <v>0</v>
      </c>
      <c r="K166" s="2">
        <v>300.947</v>
      </c>
      <c r="M166" s="7">
        <f t="shared" si="167"/>
        <v>0</v>
      </c>
    </row>
    <row r="167" spans="1:13" x14ac:dyDescent="0.25">
      <c r="A167" s="1" t="str">
        <f t="shared" ref="A167:E167" si="203">A108</f>
        <v>P205</v>
      </c>
      <c r="B167" s="1">
        <f t="shared" si="203"/>
        <v>205</v>
      </c>
      <c r="C167" s="1">
        <f t="shared" si="203"/>
        <v>1699</v>
      </c>
      <c r="D167" s="1">
        <f t="shared" si="203"/>
        <v>7</v>
      </c>
      <c r="E167" s="1">
        <f t="shared" si="203"/>
        <v>14</v>
      </c>
      <c r="F167" s="2">
        <f t="shared" si="161"/>
        <v>3</v>
      </c>
      <c r="H167" s="2">
        <v>8</v>
      </c>
      <c r="I167" s="2">
        <v>16</v>
      </c>
      <c r="J167" s="2">
        <v>0</v>
      </c>
      <c r="K167" s="2">
        <v>300.87200000000001</v>
      </c>
      <c r="M167" s="7">
        <f t="shared" si="167"/>
        <v>0</v>
      </c>
    </row>
    <row r="168" spans="1:13" x14ac:dyDescent="0.25">
      <c r="A168" s="1" t="str">
        <f t="shared" ref="A168:E168" si="204">A109</f>
        <v>P205</v>
      </c>
      <c r="B168" s="1">
        <f t="shared" si="204"/>
        <v>205</v>
      </c>
      <c r="C168" s="1">
        <f t="shared" si="204"/>
        <v>1888</v>
      </c>
      <c r="D168" s="1">
        <f t="shared" si="204"/>
        <v>7</v>
      </c>
      <c r="E168" s="1">
        <f t="shared" si="204"/>
        <v>13</v>
      </c>
      <c r="F168" s="2">
        <f t="shared" si="161"/>
        <v>3</v>
      </c>
      <c r="H168" s="2">
        <v>8</v>
      </c>
      <c r="I168" s="2">
        <v>16</v>
      </c>
      <c r="J168" s="2">
        <v>0</v>
      </c>
      <c r="K168" s="2">
        <v>300.91199999999998</v>
      </c>
      <c r="M168" s="7">
        <f t="shared" si="167"/>
        <v>0</v>
      </c>
    </row>
    <row r="169" spans="1:13" x14ac:dyDescent="0.25">
      <c r="A169" s="1" t="str">
        <f t="shared" ref="A169:E169" si="205">A110</f>
        <v>P205</v>
      </c>
      <c r="B169" s="1">
        <f t="shared" si="205"/>
        <v>205</v>
      </c>
      <c r="C169" s="1">
        <f t="shared" si="205"/>
        <v>1920</v>
      </c>
      <c r="D169" s="1">
        <f t="shared" si="205"/>
        <v>7</v>
      </c>
      <c r="E169" s="1">
        <f t="shared" si="205"/>
        <v>13</v>
      </c>
      <c r="F169" s="2">
        <f t="shared" si="161"/>
        <v>3</v>
      </c>
      <c r="H169" s="2">
        <v>8</v>
      </c>
      <c r="I169" s="2">
        <v>16</v>
      </c>
      <c r="J169" s="2">
        <v>0</v>
      </c>
      <c r="K169" s="2">
        <v>300.77999999999997</v>
      </c>
      <c r="M169" s="7">
        <f t="shared" si="167"/>
        <v>0</v>
      </c>
    </row>
    <row r="170" spans="1:13" x14ac:dyDescent="0.25">
      <c r="A170" s="1" t="str">
        <f t="shared" ref="A170:E170" si="206">A111</f>
        <v>P205</v>
      </c>
      <c r="B170" s="1">
        <f t="shared" si="206"/>
        <v>205</v>
      </c>
      <c r="C170" s="1">
        <f t="shared" si="206"/>
        <v>2077</v>
      </c>
      <c r="D170" s="1">
        <f t="shared" si="206"/>
        <v>6</v>
      </c>
      <c r="E170" s="1">
        <f t="shared" si="206"/>
        <v>12</v>
      </c>
      <c r="F170" s="2">
        <f t="shared" si="161"/>
        <v>3</v>
      </c>
      <c r="H170" s="2">
        <v>7</v>
      </c>
      <c r="I170" s="2">
        <v>14</v>
      </c>
      <c r="J170" s="2">
        <v>0</v>
      </c>
      <c r="K170" s="2">
        <v>301.11099999999999</v>
      </c>
      <c r="M170" s="7">
        <f t="shared" si="167"/>
        <v>0</v>
      </c>
    </row>
    <row r="171" spans="1:13" x14ac:dyDescent="0.25">
      <c r="A171" s="1" t="str">
        <f t="shared" ref="A171:E171" si="207">A112</f>
        <v>P205</v>
      </c>
      <c r="B171" s="1">
        <f t="shared" si="207"/>
        <v>205</v>
      </c>
      <c r="C171" s="1">
        <f t="shared" si="207"/>
        <v>2100</v>
      </c>
      <c r="D171" s="1">
        <f t="shared" si="207"/>
        <v>6</v>
      </c>
      <c r="E171" s="1">
        <f t="shared" si="207"/>
        <v>12</v>
      </c>
      <c r="F171" s="2">
        <f t="shared" si="161"/>
        <v>3</v>
      </c>
      <c r="H171" s="2">
        <v>8</v>
      </c>
      <c r="I171" s="2">
        <v>15</v>
      </c>
      <c r="J171" s="2">
        <v>0</v>
      </c>
      <c r="K171" s="2">
        <v>300.85599999999999</v>
      </c>
      <c r="M171" s="7">
        <f t="shared" si="167"/>
        <v>0</v>
      </c>
    </row>
    <row r="172" spans="1:13" x14ac:dyDescent="0.25">
      <c r="A172" s="1" t="str">
        <f t="shared" ref="A172:E172" si="208">A113</f>
        <v>P205</v>
      </c>
      <c r="B172" s="1">
        <f t="shared" si="208"/>
        <v>205</v>
      </c>
      <c r="C172" s="1">
        <f t="shared" si="208"/>
        <v>2266</v>
      </c>
      <c r="D172" s="1">
        <f t="shared" si="208"/>
        <v>6</v>
      </c>
      <c r="E172" s="1">
        <f t="shared" si="208"/>
        <v>11</v>
      </c>
      <c r="F172" s="2">
        <f t="shared" si="161"/>
        <v>3</v>
      </c>
      <c r="H172" s="2">
        <v>7</v>
      </c>
      <c r="I172" s="2">
        <v>14</v>
      </c>
      <c r="J172" s="2">
        <v>0</v>
      </c>
      <c r="K172" s="2">
        <v>300.80099999999999</v>
      </c>
      <c r="M172" s="7">
        <f t="shared" si="167"/>
        <v>0</v>
      </c>
    </row>
    <row r="173" spans="1:13" x14ac:dyDescent="0.25">
      <c r="A173" s="1" t="str">
        <f t="shared" ref="A173:E173" si="209">A114</f>
        <v>P205</v>
      </c>
      <c r="B173" s="1">
        <f t="shared" si="209"/>
        <v>205</v>
      </c>
      <c r="C173" s="1">
        <f t="shared" si="209"/>
        <v>2300</v>
      </c>
      <c r="D173" s="1">
        <f t="shared" si="209"/>
        <v>6</v>
      </c>
      <c r="E173" s="1">
        <f t="shared" si="209"/>
        <v>11</v>
      </c>
      <c r="F173" s="2">
        <f t="shared" si="161"/>
        <v>3</v>
      </c>
      <c r="H173" s="2">
        <v>7</v>
      </c>
      <c r="I173" s="2">
        <v>14</v>
      </c>
      <c r="J173" s="2">
        <v>0</v>
      </c>
      <c r="K173" s="2">
        <v>301.05900000000003</v>
      </c>
      <c r="M173" s="7">
        <f t="shared" si="167"/>
        <v>0</v>
      </c>
    </row>
    <row r="174" spans="1:13" x14ac:dyDescent="0.25">
      <c r="A174" s="1" t="str">
        <f t="shared" ref="A174:E174" si="210">A115</f>
        <v>P205</v>
      </c>
      <c r="B174" s="1">
        <f t="shared" si="210"/>
        <v>205</v>
      </c>
      <c r="C174" s="1">
        <f t="shared" si="210"/>
        <v>2454</v>
      </c>
      <c r="D174" s="1">
        <f t="shared" si="210"/>
        <v>5</v>
      </c>
      <c r="E174" s="1">
        <f t="shared" si="210"/>
        <v>10</v>
      </c>
      <c r="F174" s="2">
        <f t="shared" si="161"/>
        <v>3</v>
      </c>
      <c r="H174" s="2">
        <v>6</v>
      </c>
      <c r="I174" s="2">
        <v>12</v>
      </c>
      <c r="J174" s="2">
        <v>0</v>
      </c>
      <c r="K174" s="2">
        <v>300.98399999999998</v>
      </c>
      <c r="M174" s="7">
        <f t="shared" si="167"/>
        <v>0</v>
      </c>
    </row>
    <row r="175" spans="1:13" x14ac:dyDescent="0.25">
      <c r="A175" s="1" t="str">
        <f t="shared" ref="A175:E175" si="211">A116</f>
        <v>P205</v>
      </c>
      <c r="B175" s="1">
        <f t="shared" si="211"/>
        <v>205</v>
      </c>
      <c r="C175" s="1">
        <f t="shared" si="211"/>
        <v>2500</v>
      </c>
      <c r="D175" s="1">
        <f t="shared" si="211"/>
        <v>5</v>
      </c>
      <c r="E175" s="1">
        <f t="shared" si="211"/>
        <v>10</v>
      </c>
      <c r="F175" s="2">
        <f t="shared" si="161"/>
        <v>3</v>
      </c>
      <c r="H175" s="2">
        <v>6</v>
      </c>
      <c r="I175" s="2">
        <v>12</v>
      </c>
      <c r="J175" s="2">
        <v>0</v>
      </c>
      <c r="K175" s="2">
        <v>300.678</v>
      </c>
      <c r="M175" s="7">
        <f t="shared" si="167"/>
        <v>0</v>
      </c>
    </row>
    <row r="176" spans="1:13" x14ac:dyDescent="0.25">
      <c r="A176" s="1" t="str">
        <f t="shared" ref="A176:E176" si="212">A117</f>
        <v>P205</v>
      </c>
      <c r="B176" s="1">
        <f t="shared" si="212"/>
        <v>205</v>
      </c>
      <c r="C176" s="1">
        <f t="shared" si="212"/>
        <v>2643</v>
      </c>
      <c r="D176" s="1">
        <f t="shared" si="212"/>
        <v>5</v>
      </c>
      <c r="E176" s="1">
        <f t="shared" si="212"/>
        <v>9</v>
      </c>
      <c r="F176" s="2">
        <f t="shared" si="161"/>
        <v>3</v>
      </c>
      <c r="H176" s="2">
        <v>6</v>
      </c>
      <c r="I176" s="2">
        <v>12</v>
      </c>
      <c r="J176" s="2">
        <v>0</v>
      </c>
      <c r="K176" s="2">
        <v>301.21699999999998</v>
      </c>
      <c r="M176" s="7">
        <f t="shared" si="167"/>
        <v>0</v>
      </c>
    </row>
    <row r="177" spans="1:13" x14ac:dyDescent="0.25">
      <c r="A177" s="1" t="str">
        <f t="shared" ref="A177:E177" si="213">A118</f>
        <v>P205</v>
      </c>
      <c r="B177" s="1">
        <f t="shared" si="213"/>
        <v>205</v>
      </c>
      <c r="C177" s="1">
        <f t="shared" si="213"/>
        <v>2800</v>
      </c>
      <c r="D177" s="1">
        <f t="shared" si="213"/>
        <v>5</v>
      </c>
      <c r="E177" s="1">
        <f t="shared" si="213"/>
        <v>9</v>
      </c>
      <c r="F177" s="2">
        <f t="shared" si="161"/>
        <v>3</v>
      </c>
      <c r="H177" s="2">
        <v>6</v>
      </c>
      <c r="I177" s="2">
        <v>12</v>
      </c>
      <c r="J177" s="2">
        <v>0</v>
      </c>
      <c r="K177" s="2">
        <v>300.87799999999999</v>
      </c>
      <c r="M177" s="7">
        <f t="shared" si="167"/>
        <v>0</v>
      </c>
    </row>
    <row r="178" spans="1:13" x14ac:dyDescent="0.25">
      <c r="A178" s="1" t="str">
        <f t="shared" ref="A178:E178" si="214">A119</f>
        <v>P205</v>
      </c>
      <c r="B178" s="1">
        <f t="shared" si="214"/>
        <v>205</v>
      </c>
      <c r="C178" s="1">
        <f t="shared" si="214"/>
        <v>2832</v>
      </c>
      <c r="D178" s="1">
        <f t="shared" si="214"/>
        <v>5</v>
      </c>
      <c r="E178" s="1">
        <f t="shared" si="214"/>
        <v>9</v>
      </c>
      <c r="F178" s="2">
        <f t="shared" si="161"/>
        <v>3</v>
      </c>
      <c r="H178" s="2">
        <v>6</v>
      </c>
      <c r="I178" s="2">
        <v>12</v>
      </c>
      <c r="J178" s="2">
        <v>0</v>
      </c>
      <c r="K178" s="2">
        <v>301.096</v>
      </c>
      <c r="M178" s="7">
        <f t="shared" si="167"/>
        <v>0</v>
      </c>
    </row>
    <row r="179" spans="1:13" x14ac:dyDescent="0.25">
      <c r="A179" s="1" t="str">
        <f t="shared" ref="A179:E179" si="215">A120</f>
        <v>P9</v>
      </c>
      <c r="B179" s="1">
        <f t="shared" si="215"/>
        <v>9</v>
      </c>
      <c r="C179" s="1">
        <f t="shared" si="215"/>
        <v>3</v>
      </c>
      <c r="D179" s="1">
        <f t="shared" si="215"/>
        <v>3</v>
      </c>
      <c r="E179" s="1">
        <f t="shared" si="215"/>
        <v>6</v>
      </c>
      <c r="F179" s="2">
        <f t="shared" si="161"/>
        <v>4</v>
      </c>
      <c r="H179" s="2">
        <v>3</v>
      </c>
      <c r="I179" s="2">
        <v>6</v>
      </c>
      <c r="J179" s="2">
        <v>1</v>
      </c>
      <c r="K179" s="2">
        <v>2E-3</v>
      </c>
      <c r="M179" s="7">
        <f t="shared" si="167"/>
        <v>1</v>
      </c>
    </row>
    <row r="180" spans="1:13" x14ac:dyDescent="0.25">
      <c r="A180" s="1" t="str">
        <f t="shared" ref="A180:E180" si="216">A121</f>
        <v>P9</v>
      </c>
      <c r="B180" s="1">
        <f t="shared" si="216"/>
        <v>9</v>
      </c>
      <c r="C180" s="1">
        <f t="shared" si="216"/>
        <v>4</v>
      </c>
      <c r="D180" s="1">
        <f t="shared" si="216"/>
        <v>3</v>
      </c>
      <c r="E180" s="1">
        <f t="shared" si="216"/>
        <v>5</v>
      </c>
      <c r="F180" s="2">
        <f t="shared" si="161"/>
        <v>4</v>
      </c>
      <c r="H180" s="2">
        <v>3</v>
      </c>
      <c r="I180" s="2">
        <v>5</v>
      </c>
      <c r="J180" s="2">
        <v>1</v>
      </c>
      <c r="K180" s="2">
        <v>2E-3</v>
      </c>
      <c r="M180" s="7">
        <f t="shared" si="167"/>
        <v>1</v>
      </c>
    </row>
    <row r="181" spans="1:13" x14ac:dyDescent="0.25">
      <c r="A181" s="1" t="str">
        <f t="shared" ref="A181:E181" si="217">A122</f>
        <v>P9</v>
      </c>
      <c r="B181" s="1">
        <f t="shared" si="217"/>
        <v>9</v>
      </c>
      <c r="C181" s="1">
        <f t="shared" si="217"/>
        <v>5</v>
      </c>
      <c r="D181" s="1">
        <f t="shared" si="217"/>
        <v>2</v>
      </c>
      <c r="E181" s="1">
        <f t="shared" si="217"/>
        <v>4</v>
      </c>
      <c r="F181" s="2">
        <f t="shared" si="161"/>
        <v>4</v>
      </c>
      <c r="H181" s="2">
        <v>2</v>
      </c>
      <c r="I181" s="2">
        <v>4</v>
      </c>
      <c r="J181" s="2">
        <v>1</v>
      </c>
      <c r="K181" s="2">
        <v>5.0000000000000001E-3</v>
      </c>
      <c r="M181" s="7">
        <f t="shared" si="167"/>
        <v>1</v>
      </c>
    </row>
    <row r="182" spans="1:13" x14ac:dyDescent="0.25">
      <c r="A182" s="1" t="str">
        <f t="shared" ref="A182:E182" si="218">A123</f>
        <v>P9</v>
      </c>
      <c r="B182" s="1">
        <f t="shared" si="218"/>
        <v>9</v>
      </c>
      <c r="C182" s="1">
        <f t="shared" si="218"/>
        <v>6</v>
      </c>
      <c r="D182" s="1">
        <f t="shared" si="218"/>
        <v>2</v>
      </c>
      <c r="E182" s="1">
        <f t="shared" si="218"/>
        <v>3</v>
      </c>
      <c r="F182" s="2">
        <f t="shared" si="161"/>
        <v>4</v>
      </c>
      <c r="H182" s="2">
        <v>2</v>
      </c>
      <c r="I182" s="2">
        <v>3</v>
      </c>
      <c r="J182" s="2">
        <v>1</v>
      </c>
      <c r="K182" s="2">
        <v>2E-3</v>
      </c>
      <c r="M182" s="7">
        <f t="shared" si="167"/>
        <v>1</v>
      </c>
    </row>
    <row r="183" spans="1:13" x14ac:dyDescent="0.25">
      <c r="A183" s="1" t="str">
        <f t="shared" ref="A183:E183" si="219">A124</f>
        <v>P9</v>
      </c>
      <c r="B183" s="1">
        <f t="shared" si="219"/>
        <v>9</v>
      </c>
      <c r="C183" s="1">
        <f t="shared" si="219"/>
        <v>7</v>
      </c>
      <c r="D183" s="1">
        <f t="shared" si="219"/>
        <v>2</v>
      </c>
      <c r="E183" s="1">
        <f t="shared" si="219"/>
        <v>3</v>
      </c>
      <c r="F183" s="2">
        <f t="shared" si="161"/>
        <v>4</v>
      </c>
      <c r="H183" s="2">
        <v>2</v>
      </c>
      <c r="I183" s="2">
        <v>3</v>
      </c>
      <c r="J183" s="2">
        <v>1</v>
      </c>
      <c r="K183" s="2">
        <v>4.0000000000000001E-3</v>
      </c>
      <c r="M183" s="7">
        <f t="shared" si="167"/>
        <v>1</v>
      </c>
    </row>
    <row r="184" spans="1:13" x14ac:dyDescent="0.25">
      <c r="A184" s="1" t="str">
        <f t="shared" ref="A184:E184" si="220">A125</f>
        <v>P12</v>
      </c>
      <c r="B184" s="1">
        <f t="shared" si="220"/>
        <v>12</v>
      </c>
      <c r="C184" s="1">
        <f t="shared" si="220"/>
        <v>4</v>
      </c>
      <c r="D184" s="1">
        <f t="shared" si="220"/>
        <v>4</v>
      </c>
      <c r="E184" s="1">
        <f t="shared" si="220"/>
        <v>7</v>
      </c>
      <c r="F184" s="2">
        <f t="shared" si="161"/>
        <v>4</v>
      </c>
      <c r="H184" s="2">
        <v>4</v>
      </c>
      <c r="I184" s="2">
        <v>7</v>
      </c>
      <c r="J184" s="2">
        <v>1</v>
      </c>
      <c r="K184" s="2">
        <v>2E-3</v>
      </c>
      <c r="M184" s="7">
        <f t="shared" si="167"/>
        <v>1</v>
      </c>
    </row>
    <row r="185" spans="1:13" x14ac:dyDescent="0.25">
      <c r="A185" s="1" t="str">
        <f t="shared" ref="A185:E185" si="221">A126</f>
        <v>P12</v>
      </c>
      <c r="B185" s="1">
        <f t="shared" si="221"/>
        <v>12</v>
      </c>
      <c r="C185" s="1">
        <f t="shared" si="221"/>
        <v>5</v>
      </c>
      <c r="D185" s="1">
        <f t="shared" si="221"/>
        <v>3</v>
      </c>
      <c r="E185" s="1">
        <f t="shared" si="221"/>
        <v>6</v>
      </c>
      <c r="F185" s="2">
        <f t="shared" si="161"/>
        <v>4</v>
      </c>
      <c r="H185" s="2">
        <v>3</v>
      </c>
      <c r="I185" s="2">
        <v>6</v>
      </c>
      <c r="J185" s="2">
        <v>1</v>
      </c>
      <c r="K185" s="2">
        <v>0.54100000000000004</v>
      </c>
      <c r="M185" s="7">
        <f t="shared" si="167"/>
        <v>1</v>
      </c>
    </row>
    <row r="186" spans="1:13" x14ac:dyDescent="0.25">
      <c r="A186" s="1" t="str">
        <f t="shared" ref="A186:E186" si="222">A127</f>
        <v>P12</v>
      </c>
      <c r="B186" s="1">
        <f t="shared" si="222"/>
        <v>12</v>
      </c>
      <c r="C186" s="1">
        <f t="shared" si="222"/>
        <v>6</v>
      </c>
      <c r="D186" s="1">
        <f t="shared" si="222"/>
        <v>3</v>
      </c>
      <c r="E186" s="1">
        <f t="shared" si="222"/>
        <v>5</v>
      </c>
      <c r="F186" s="2">
        <f t="shared" si="161"/>
        <v>4</v>
      </c>
      <c r="H186" s="2">
        <v>3</v>
      </c>
      <c r="I186" s="2">
        <v>5</v>
      </c>
      <c r="J186" s="2">
        <v>1</v>
      </c>
      <c r="K186" s="2">
        <v>1E-3</v>
      </c>
      <c r="M186" s="7">
        <f t="shared" si="167"/>
        <v>1</v>
      </c>
    </row>
    <row r="187" spans="1:13" x14ac:dyDescent="0.25">
      <c r="A187" s="1" t="str">
        <f t="shared" ref="A187:E187" si="223">A128</f>
        <v>P12</v>
      </c>
      <c r="B187" s="1">
        <f t="shared" si="223"/>
        <v>12</v>
      </c>
      <c r="C187" s="1">
        <f t="shared" si="223"/>
        <v>7</v>
      </c>
      <c r="D187" s="1">
        <f t="shared" si="223"/>
        <v>2</v>
      </c>
      <c r="E187" s="1">
        <f t="shared" si="223"/>
        <v>4</v>
      </c>
      <c r="F187" s="2">
        <f t="shared" si="161"/>
        <v>4</v>
      </c>
      <c r="H187" s="2">
        <v>2</v>
      </c>
      <c r="I187" s="2">
        <v>4</v>
      </c>
      <c r="J187" s="2">
        <v>1</v>
      </c>
      <c r="K187" s="2">
        <v>2E-3</v>
      </c>
      <c r="M187" s="7">
        <f t="shared" si="167"/>
        <v>1</v>
      </c>
    </row>
    <row r="188" spans="1:13" x14ac:dyDescent="0.25">
      <c r="A188" s="1" t="str">
        <f t="shared" ref="A188:E188" si="224">A129</f>
        <v>P12</v>
      </c>
      <c r="B188" s="1">
        <f t="shared" si="224"/>
        <v>12</v>
      </c>
      <c r="C188" s="1">
        <f t="shared" si="224"/>
        <v>8</v>
      </c>
      <c r="D188" s="1">
        <f t="shared" si="224"/>
        <v>2</v>
      </c>
      <c r="E188" s="1">
        <f t="shared" si="224"/>
        <v>4</v>
      </c>
      <c r="F188" s="2">
        <f t="shared" si="161"/>
        <v>4</v>
      </c>
      <c r="H188" s="2">
        <v>2</v>
      </c>
      <c r="I188" s="2">
        <v>4</v>
      </c>
      <c r="J188" s="2">
        <v>1</v>
      </c>
      <c r="K188" s="2">
        <v>3.0000000000000001E-3</v>
      </c>
      <c r="M188" s="7">
        <f t="shared" si="167"/>
        <v>1</v>
      </c>
    </row>
    <row r="189" spans="1:13" x14ac:dyDescent="0.25">
      <c r="A189" s="1" t="str">
        <f t="shared" ref="A189:E189" si="225">A130</f>
        <v>P12</v>
      </c>
      <c r="B189" s="1">
        <f t="shared" si="225"/>
        <v>12</v>
      </c>
      <c r="C189" s="1">
        <f t="shared" si="225"/>
        <v>9</v>
      </c>
      <c r="D189" s="1">
        <f t="shared" si="225"/>
        <v>2</v>
      </c>
      <c r="E189" s="1">
        <f t="shared" si="225"/>
        <v>3</v>
      </c>
      <c r="F189" s="2">
        <f t="shared" si="161"/>
        <v>4</v>
      </c>
      <c r="H189" s="2">
        <v>2</v>
      </c>
      <c r="I189" s="2">
        <v>3</v>
      </c>
      <c r="J189" s="2">
        <v>1</v>
      </c>
      <c r="K189" s="2">
        <v>8.0000000000000002E-3</v>
      </c>
      <c r="M189" s="7">
        <f t="shared" si="167"/>
        <v>1</v>
      </c>
    </row>
    <row r="190" spans="1:13" x14ac:dyDescent="0.25">
      <c r="A190" s="1" t="str">
        <f t="shared" ref="A190:E190" si="226">A131</f>
        <v>P16</v>
      </c>
      <c r="B190" s="1">
        <f t="shared" si="226"/>
        <v>16</v>
      </c>
      <c r="C190" s="1">
        <f t="shared" si="226"/>
        <v>15</v>
      </c>
      <c r="D190" s="1">
        <f t="shared" si="226"/>
        <v>4</v>
      </c>
      <c r="E190" s="1">
        <f t="shared" si="226"/>
        <v>6</v>
      </c>
      <c r="F190" s="2">
        <f t="shared" ref="F190:F253" si="227">F131+1</f>
        <v>4</v>
      </c>
      <c r="H190" s="2">
        <v>4</v>
      </c>
      <c r="I190" s="2">
        <v>6</v>
      </c>
      <c r="J190" s="2">
        <v>1</v>
      </c>
      <c r="K190" s="2">
        <v>0.60799999999999998</v>
      </c>
      <c r="M190" s="7">
        <f t="shared" si="167"/>
        <v>1</v>
      </c>
    </row>
    <row r="191" spans="1:13" x14ac:dyDescent="0.25">
      <c r="A191" s="1" t="str">
        <f t="shared" ref="A191:E191" si="228">A132</f>
        <v>P16</v>
      </c>
      <c r="B191" s="1">
        <f t="shared" si="228"/>
        <v>16</v>
      </c>
      <c r="C191" s="1">
        <f t="shared" si="228"/>
        <v>16</v>
      </c>
      <c r="D191" s="1">
        <f t="shared" si="228"/>
        <v>3</v>
      </c>
      <c r="E191" s="1">
        <f t="shared" si="228"/>
        <v>6</v>
      </c>
      <c r="F191" s="2">
        <f t="shared" si="227"/>
        <v>4</v>
      </c>
      <c r="H191" s="2">
        <v>3</v>
      </c>
      <c r="I191" s="2">
        <v>6</v>
      </c>
      <c r="J191" s="2">
        <v>1</v>
      </c>
      <c r="K191" s="2">
        <v>3.0000000000000001E-3</v>
      </c>
      <c r="M191" s="7">
        <f t="shared" si="167"/>
        <v>1</v>
      </c>
    </row>
    <row r="192" spans="1:13" x14ac:dyDescent="0.25">
      <c r="A192" s="1" t="str">
        <f t="shared" ref="A192:E192" si="229">A133</f>
        <v>P16</v>
      </c>
      <c r="B192" s="1">
        <f t="shared" si="229"/>
        <v>16</v>
      </c>
      <c r="C192" s="1">
        <f t="shared" si="229"/>
        <v>18</v>
      </c>
      <c r="D192" s="1">
        <f t="shared" si="229"/>
        <v>3</v>
      </c>
      <c r="E192" s="1">
        <f t="shared" si="229"/>
        <v>6</v>
      </c>
      <c r="F192" s="2">
        <f t="shared" si="227"/>
        <v>4</v>
      </c>
      <c r="H192" s="2">
        <v>3</v>
      </c>
      <c r="I192" s="2">
        <v>6</v>
      </c>
      <c r="J192" s="2">
        <v>1</v>
      </c>
      <c r="K192" s="2">
        <v>0.70499999999999996</v>
      </c>
      <c r="M192" s="7">
        <f t="shared" si="167"/>
        <v>1</v>
      </c>
    </row>
    <row r="193" spans="1:13" x14ac:dyDescent="0.25">
      <c r="A193" s="1" t="str">
        <f t="shared" ref="A193:E193" si="230">A134</f>
        <v>P16</v>
      </c>
      <c r="B193" s="1">
        <f t="shared" si="230"/>
        <v>16</v>
      </c>
      <c r="C193" s="1">
        <f t="shared" si="230"/>
        <v>19</v>
      </c>
      <c r="D193" s="1">
        <f t="shared" si="230"/>
        <v>3</v>
      </c>
      <c r="E193" s="1">
        <f t="shared" si="230"/>
        <v>5</v>
      </c>
      <c r="F193" s="2">
        <f t="shared" si="227"/>
        <v>4</v>
      </c>
      <c r="H193" s="2">
        <v>3</v>
      </c>
      <c r="I193" s="2">
        <v>5</v>
      </c>
      <c r="J193" s="2">
        <v>1</v>
      </c>
      <c r="K193" s="2">
        <v>0.749</v>
      </c>
      <c r="M193" s="7">
        <f t="shared" si="167"/>
        <v>1</v>
      </c>
    </row>
    <row r="194" spans="1:13" x14ac:dyDescent="0.25">
      <c r="A194" s="1" t="str">
        <f t="shared" ref="A194:E194" si="231">A135</f>
        <v>P16</v>
      </c>
      <c r="B194" s="1">
        <f t="shared" si="231"/>
        <v>16</v>
      </c>
      <c r="C194" s="1">
        <f t="shared" si="231"/>
        <v>20</v>
      </c>
      <c r="D194" s="1">
        <f t="shared" si="231"/>
        <v>3</v>
      </c>
      <c r="E194" s="1">
        <f t="shared" si="231"/>
        <v>5</v>
      </c>
      <c r="F194" s="2">
        <f t="shared" si="227"/>
        <v>4</v>
      </c>
      <c r="H194" s="2">
        <v>3</v>
      </c>
      <c r="I194" s="2">
        <v>5</v>
      </c>
      <c r="J194" s="2">
        <v>1</v>
      </c>
      <c r="K194" s="2">
        <v>0.55900000000000005</v>
      </c>
      <c r="M194" s="7">
        <f t="shared" si="167"/>
        <v>1</v>
      </c>
    </row>
    <row r="195" spans="1:13" x14ac:dyDescent="0.25">
      <c r="A195" s="1" t="str">
        <f t="shared" ref="A195:E195" si="232">A136</f>
        <v>P16</v>
      </c>
      <c r="B195" s="1">
        <f t="shared" si="232"/>
        <v>16</v>
      </c>
      <c r="C195" s="1">
        <f t="shared" si="232"/>
        <v>21</v>
      </c>
      <c r="D195" s="1">
        <f t="shared" si="232"/>
        <v>3</v>
      </c>
      <c r="E195" s="1">
        <f t="shared" si="232"/>
        <v>5</v>
      </c>
      <c r="F195" s="2">
        <f t="shared" si="227"/>
        <v>4</v>
      </c>
      <c r="H195" s="2">
        <v>3</v>
      </c>
      <c r="I195" s="2">
        <v>5</v>
      </c>
      <c r="J195" s="2">
        <v>1</v>
      </c>
      <c r="K195" s="2">
        <v>0.76600000000000001</v>
      </c>
      <c r="M195" s="7">
        <f t="shared" ref="M195:M258" si="233">IF(D195*100+E195=H195*100+I195,1,0)</f>
        <v>1</v>
      </c>
    </row>
    <row r="196" spans="1:13" x14ac:dyDescent="0.25">
      <c r="A196" s="1" t="str">
        <f t="shared" ref="A196:E196" si="234">A137</f>
        <v>P16</v>
      </c>
      <c r="B196" s="1">
        <f t="shared" si="234"/>
        <v>16</v>
      </c>
      <c r="C196" s="1">
        <f t="shared" si="234"/>
        <v>22</v>
      </c>
      <c r="D196" s="1">
        <f t="shared" si="234"/>
        <v>2</v>
      </c>
      <c r="E196" s="1">
        <f t="shared" si="234"/>
        <v>4</v>
      </c>
      <c r="F196" s="2">
        <f t="shared" si="227"/>
        <v>4</v>
      </c>
      <c r="H196" s="2">
        <v>2</v>
      </c>
      <c r="I196" s="2">
        <v>4</v>
      </c>
      <c r="J196" s="2">
        <v>1</v>
      </c>
      <c r="K196" s="2">
        <v>8.9999999999999993E-3</v>
      </c>
      <c r="M196" s="7">
        <f t="shared" si="233"/>
        <v>1</v>
      </c>
    </row>
    <row r="197" spans="1:13" x14ac:dyDescent="0.25">
      <c r="A197" s="1" t="str">
        <f t="shared" ref="A197:E197" si="235">A138</f>
        <v>P24</v>
      </c>
      <c r="B197" s="1">
        <f t="shared" si="235"/>
        <v>24</v>
      </c>
      <c r="C197" s="1">
        <f t="shared" si="235"/>
        <v>18</v>
      </c>
      <c r="D197" s="1">
        <f t="shared" si="235"/>
        <v>4</v>
      </c>
      <c r="E197" s="1">
        <f t="shared" si="235"/>
        <v>8</v>
      </c>
      <c r="F197" s="2">
        <f t="shared" si="227"/>
        <v>4</v>
      </c>
      <c r="H197" s="2">
        <v>4</v>
      </c>
      <c r="I197" s="2">
        <v>8</v>
      </c>
      <c r="J197" s="2">
        <v>1</v>
      </c>
      <c r="K197" s="2">
        <v>4.2999999999999997E-2</v>
      </c>
      <c r="M197" s="7">
        <f t="shared" si="233"/>
        <v>1</v>
      </c>
    </row>
    <row r="198" spans="1:13" x14ac:dyDescent="0.25">
      <c r="A198" s="1" t="str">
        <f t="shared" ref="A198:E198" si="236">A139</f>
        <v>P24</v>
      </c>
      <c r="B198" s="1">
        <f t="shared" si="236"/>
        <v>24</v>
      </c>
      <c r="C198" s="1">
        <f t="shared" si="236"/>
        <v>20</v>
      </c>
      <c r="D198" s="1">
        <f t="shared" si="236"/>
        <v>4</v>
      </c>
      <c r="E198" s="1">
        <f t="shared" si="236"/>
        <v>7</v>
      </c>
      <c r="F198" s="2">
        <f t="shared" si="227"/>
        <v>4</v>
      </c>
      <c r="H198" s="2">
        <v>4</v>
      </c>
      <c r="I198" s="2">
        <v>7</v>
      </c>
      <c r="J198" s="2">
        <v>1</v>
      </c>
      <c r="K198" s="2">
        <v>4.625</v>
      </c>
      <c r="M198" s="7">
        <f t="shared" si="233"/>
        <v>1</v>
      </c>
    </row>
    <row r="199" spans="1:13" x14ac:dyDescent="0.25">
      <c r="A199" s="1" t="str">
        <f t="shared" ref="A199:E199" si="237">A140</f>
        <v>P24</v>
      </c>
      <c r="B199" s="1">
        <f t="shared" si="237"/>
        <v>24</v>
      </c>
      <c r="C199" s="1">
        <f t="shared" si="237"/>
        <v>24</v>
      </c>
      <c r="D199" s="1">
        <f t="shared" si="237"/>
        <v>3</v>
      </c>
      <c r="E199" s="1">
        <f t="shared" si="237"/>
        <v>6</v>
      </c>
      <c r="F199" s="2">
        <f t="shared" si="227"/>
        <v>4</v>
      </c>
      <c r="H199" s="2">
        <v>3</v>
      </c>
      <c r="I199" s="2">
        <v>6</v>
      </c>
      <c r="J199" s="2">
        <v>1</v>
      </c>
      <c r="K199" s="2">
        <v>3.7999999999999999E-2</v>
      </c>
      <c r="M199" s="7">
        <f t="shared" si="233"/>
        <v>1</v>
      </c>
    </row>
    <row r="200" spans="1:13" x14ac:dyDescent="0.25">
      <c r="A200" s="1" t="str">
        <f t="shared" ref="A200:E200" si="238">A141</f>
        <v>P24</v>
      </c>
      <c r="B200" s="1">
        <f t="shared" si="238"/>
        <v>24</v>
      </c>
      <c r="C200" s="1">
        <f t="shared" si="238"/>
        <v>25</v>
      </c>
      <c r="D200" s="1">
        <f t="shared" si="238"/>
        <v>3</v>
      </c>
      <c r="E200" s="1">
        <f t="shared" si="238"/>
        <v>6</v>
      </c>
      <c r="F200" s="2">
        <f t="shared" si="227"/>
        <v>4</v>
      </c>
      <c r="H200" s="2">
        <v>3</v>
      </c>
      <c r="I200" s="2">
        <v>6</v>
      </c>
      <c r="J200" s="2">
        <v>1</v>
      </c>
      <c r="K200" s="2">
        <v>4.1000000000000002E-2</v>
      </c>
      <c r="M200" s="7">
        <f t="shared" si="233"/>
        <v>1</v>
      </c>
    </row>
    <row r="201" spans="1:13" x14ac:dyDescent="0.25">
      <c r="A201" s="1" t="str">
        <f t="shared" ref="A201:E201" si="239">A142</f>
        <v>P24</v>
      </c>
      <c r="B201" s="1">
        <f t="shared" si="239"/>
        <v>24</v>
      </c>
      <c r="C201" s="1">
        <f t="shared" si="239"/>
        <v>30</v>
      </c>
      <c r="D201" s="1">
        <f t="shared" si="239"/>
        <v>3</v>
      </c>
      <c r="E201" s="1">
        <f t="shared" si="239"/>
        <v>5</v>
      </c>
      <c r="F201" s="2">
        <f t="shared" si="227"/>
        <v>4</v>
      </c>
      <c r="H201" s="2">
        <v>3</v>
      </c>
      <c r="I201" s="2">
        <v>5</v>
      </c>
      <c r="J201" s="2">
        <v>1</v>
      </c>
      <c r="K201" s="2">
        <v>4.2999999999999997E-2</v>
      </c>
      <c r="M201" s="7">
        <f t="shared" si="233"/>
        <v>1</v>
      </c>
    </row>
    <row r="202" spans="1:13" x14ac:dyDescent="0.25">
      <c r="A202" s="1" t="str">
        <f t="shared" ref="A202:E202" si="240">A143</f>
        <v>P24</v>
      </c>
      <c r="B202" s="1">
        <f t="shared" si="240"/>
        <v>24</v>
      </c>
      <c r="C202" s="1">
        <f t="shared" si="240"/>
        <v>35</v>
      </c>
      <c r="D202" s="1">
        <f t="shared" si="240"/>
        <v>2</v>
      </c>
      <c r="E202" s="1">
        <f t="shared" si="240"/>
        <v>4</v>
      </c>
      <c r="F202" s="2">
        <f t="shared" si="227"/>
        <v>4</v>
      </c>
      <c r="H202" s="2">
        <v>2</v>
      </c>
      <c r="I202" s="2">
        <v>4</v>
      </c>
      <c r="J202" s="2">
        <v>1</v>
      </c>
      <c r="K202" s="2">
        <v>4.8000000000000001E-2</v>
      </c>
      <c r="M202" s="7">
        <f t="shared" si="233"/>
        <v>1</v>
      </c>
    </row>
    <row r="203" spans="1:13" x14ac:dyDescent="0.25">
      <c r="A203" s="1" t="str">
        <f t="shared" ref="A203:E203" si="241">A144</f>
        <v>P24</v>
      </c>
      <c r="B203" s="1">
        <f t="shared" si="241"/>
        <v>24</v>
      </c>
      <c r="C203" s="1">
        <f t="shared" si="241"/>
        <v>40</v>
      </c>
      <c r="D203" s="1">
        <f t="shared" si="241"/>
        <v>2</v>
      </c>
      <c r="E203" s="1">
        <f t="shared" si="241"/>
        <v>4</v>
      </c>
      <c r="F203" s="2">
        <f t="shared" si="227"/>
        <v>4</v>
      </c>
      <c r="H203" s="2">
        <v>2</v>
      </c>
      <c r="I203" s="2">
        <v>4</v>
      </c>
      <c r="J203" s="2">
        <v>1</v>
      </c>
      <c r="K203" s="2">
        <v>4.5999999999999999E-2</v>
      </c>
      <c r="M203" s="7">
        <f t="shared" si="233"/>
        <v>1</v>
      </c>
    </row>
    <row r="204" spans="1:13" x14ac:dyDescent="0.25">
      <c r="A204" s="1" t="str">
        <f t="shared" ref="A204:E204" si="242">A145</f>
        <v>P65</v>
      </c>
      <c r="B204" s="1">
        <f t="shared" si="242"/>
        <v>65</v>
      </c>
      <c r="C204" s="1">
        <f t="shared" si="242"/>
        <v>326</v>
      </c>
      <c r="D204" s="1">
        <f t="shared" si="242"/>
        <v>8</v>
      </c>
      <c r="E204" s="1">
        <f t="shared" si="242"/>
        <v>16</v>
      </c>
      <c r="F204" s="2">
        <f t="shared" si="227"/>
        <v>4</v>
      </c>
      <c r="H204" s="2">
        <v>8</v>
      </c>
      <c r="I204" s="2">
        <v>16</v>
      </c>
      <c r="J204" s="2">
        <v>1</v>
      </c>
      <c r="K204" s="2">
        <v>0.16700000000000001</v>
      </c>
      <c r="M204" s="7">
        <f t="shared" si="233"/>
        <v>1</v>
      </c>
    </row>
    <row r="205" spans="1:13" x14ac:dyDescent="0.25">
      <c r="A205" s="1" t="str">
        <f t="shared" ref="A205:E205" si="243">A146</f>
        <v>P65</v>
      </c>
      <c r="B205" s="1">
        <f t="shared" si="243"/>
        <v>65</v>
      </c>
      <c r="C205" s="1">
        <f t="shared" si="243"/>
        <v>381</v>
      </c>
      <c r="D205" s="1">
        <f t="shared" si="243"/>
        <v>7</v>
      </c>
      <c r="E205" s="1">
        <f t="shared" si="243"/>
        <v>14</v>
      </c>
      <c r="F205" s="2">
        <f t="shared" si="227"/>
        <v>4</v>
      </c>
      <c r="H205" s="2">
        <v>7</v>
      </c>
      <c r="I205" s="2">
        <v>14</v>
      </c>
      <c r="J205" s="2">
        <v>1</v>
      </c>
      <c r="K205" s="2">
        <v>0.14399999999999999</v>
      </c>
      <c r="M205" s="7">
        <f t="shared" si="233"/>
        <v>1</v>
      </c>
    </row>
    <row r="206" spans="1:13" x14ac:dyDescent="0.25">
      <c r="A206" s="1" t="str">
        <f t="shared" ref="A206:E206" si="244">A147</f>
        <v>P65</v>
      </c>
      <c r="B206" s="1">
        <f t="shared" si="244"/>
        <v>65</v>
      </c>
      <c r="C206" s="1">
        <f t="shared" si="244"/>
        <v>435</v>
      </c>
      <c r="D206" s="1">
        <f t="shared" si="244"/>
        <v>6</v>
      </c>
      <c r="E206" s="1">
        <f t="shared" si="244"/>
        <v>12</v>
      </c>
      <c r="F206" s="2">
        <f t="shared" si="227"/>
        <v>4</v>
      </c>
      <c r="H206" s="2">
        <v>6</v>
      </c>
      <c r="I206" s="2">
        <v>12</v>
      </c>
      <c r="J206" s="2">
        <v>1</v>
      </c>
      <c r="K206" s="2">
        <v>4.7629999999999999</v>
      </c>
      <c r="M206" s="7">
        <f t="shared" si="233"/>
        <v>1</v>
      </c>
    </row>
    <row r="207" spans="1:13" x14ac:dyDescent="0.25">
      <c r="A207" s="1" t="str">
        <f t="shared" ref="A207:E207" si="245">A148</f>
        <v>P65</v>
      </c>
      <c r="B207" s="1">
        <f t="shared" si="245"/>
        <v>65</v>
      </c>
      <c r="C207" s="1">
        <f t="shared" si="245"/>
        <v>490</v>
      </c>
      <c r="D207" s="1">
        <f t="shared" si="245"/>
        <v>6</v>
      </c>
      <c r="E207" s="1">
        <f t="shared" si="245"/>
        <v>11</v>
      </c>
      <c r="F207" s="2">
        <f t="shared" si="227"/>
        <v>4</v>
      </c>
      <c r="H207" s="2">
        <v>6</v>
      </c>
      <c r="I207" s="2">
        <v>11</v>
      </c>
      <c r="J207" s="2">
        <v>1</v>
      </c>
      <c r="K207" s="2">
        <v>8.343</v>
      </c>
      <c r="M207" s="7">
        <f t="shared" si="233"/>
        <v>1</v>
      </c>
    </row>
    <row r="208" spans="1:13" x14ac:dyDescent="0.25">
      <c r="A208" s="1" t="str">
        <f t="shared" ref="A208:E208" si="246">A149</f>
        <v>P65</v>
      </c>
      <c r="B208" s="1">
        <f t="shared" si="246"/>
        <v>65</v>
      </c>
      <c r="C208" s="1">
        <f t="shared" si="246"/>
        <v>512</v>
      </c>
      <c r="D208" s="1">
        <f t="shared" si="246"/>
        <v>5</v>
      </c>
      <c r="E208" s="1">
        <f t="shared" si="246"/>
        <v>10</v>
      </c>
      <c r="F208" s="2">
        <f t="shared" si="227"/>
        <v>4</v>
      </c>
      <c r="H208" s="2">
        <v>6</v>
      </c>
      <c r="I208" s="2">
        <v>10</v>
      </c>
      <c r="J208" s="2">
        <v>0</v>
      </c>
      <c r="K208" s="2">
        <v>300.113</v>
      </c>
      <c r="M208" s="7">
        <f t="shared" si="233"/>
        <v>0</v>
      </c>
    </row>
    <row r="209" spans="1:13" x14ac:dyDescent="0.25">
      <c r="A209" s="1" t="str">
        <f t="shared" ref="A209:E209" si="247">A150</f>
        <v>P65</v>
      </c>
      <c r="B209" s="1">
        <f t="shared" si="247"/>
        <v>65</v>
      </c>
      <c r="C209" s="1">
        <f t="shared" si="247"/>
        <v>544</v>
      </c>
      <c r="D209" s="1">
        <f t="shared" si="247"/>
        <v>5</v>
      </c>
      <c r="E209" s="1">
        <f t="shared" si="247"/>
        <v>10</v>
      </c>
      <c r="F209" s="2">
        <f t="shared" si="227"/>
        <v>4</v>
      </c>
      <c r="H209" s="2">
        <v>5</v>
      </c>
      <c r="I209" s="2">
        <v>10</v>
      </c>
      <c r="J209" s="2">
        <v>1</v>
      </c>
      <c r="K209" s="2">
        <v>11.16</v>
      </c>
      <c r="M209" s="7">
        <f t="shared" si="233"/>
        <v>1</v>
      </c>
    </row>
    <row r="210" spans="1:13" x14ac:dyDescent="0.25">
      <c r="A210" s="1" t="str">
        <f t="shared" ref="A210:E210" si="248">A151</f>
        <v>P148</v>
      </c>
      <c r="B210" s="1">
        <f t="shared" si="248"/>
        <v>148</v>
      </c>
      <c r="C210" s="1">
        <f t="shared" si="248"/>
        <v>204</v>
      </c>
      <c r="D210" s="1">
        <f t="shared" si="248"/>
        <v>13</v>
      </c>
      <c r="E210" s="1">
        <f t="shared" si="248"/>
        <v>26</v>
      </c>
      <c r="F210" s="2">
        <f t="shared" si="227"/>
        <v>4</v>
      </c>
      <c r="H210" s="2">
        <v>14</v>
      </c>
      <c r="I210" s="2">
        <v>26</v>
      </c>
      <c r="J210" s="2">
        <v>0</v>
      </c>
      <c r="K210" s="2">
        <v>300.846</v>
      </c>
      <c r="M210" s="7">
        <f t="shared" si="233"/>
        <v>0</v>
      </c>
    </row>
    <row r="211" spans="1:13" x14ac:dyDescent="0.25">
      <c r="A211" s="1" t="str">
        <f t="shared" ref="A211:E211" si="249">A152</f>
        <v>P148</v>
      </c>
      <c r="B211" s="1">
        <f t="shared" si="249"/>
        <v>148</v>
      </c>
      <c r="C211" s="1">
        <f t="shared" si="249"/>
        <v>228</v>
      </c>
      <c r="D211" s="1">
        <f t="shared" si="249"/>
        <v>12</v>
      </c>
      <c r="E211" s="1">
        <f t="shared" si="249"/>
        <v>23</v>
      </c>
      <c r="F211" s="2">
        <f t="shared" si="227"/>
        <v>4</v>
      </c>
      <c r="H211" s="2">
        <v>12</v>
      </c>
      <c r="I211" s="2">
        <v>23</v>
      </c>
      <c r="J211" s="2">
        <v>1</v>
      </c>
      <c r="K211" s="2">
        <v>149.65199999999999</v>
      </c>
      <c r="M211" s="7">
        <f t="shared" si="233"/>
        <v>1</v>
      </c>
    </row>
    <row r="212" spans="1:13" x14ac:dyDescent="0.25">
      <c r="A212" s="1" t="str">
        <f t="shared" ref="A212:E212" si="250">A153</f>
        <v>P148</v>
      </c>
      <c r="B212" s="1">
        <f t="shared" si="250"/>
        <v>148</v>
      </c>
      <c r="C212" s="1">
        <f t="shared" si="250"/>
        <v>255</v>
      </c>
      <c r="D212" s="1">
        <f t="shared" si="250"/>
        <v>11</v>
      </c>
      <c r="E212" s="1">
        <f t="shared" si="250"/>
        <v>21</v>
      </c>
      <c r="F212" s="2">
        <f t="shared" si="227"/>
        <v>4</v>
      </c>
      <c r="H212" s="2">
        <v>11</v>
      </c>
      <c r="I212" s="2">
        <v>21</v>
      </c>
      <c r="J212" s="2">
        <v>1</v>
      </c>
      <c r="K212" s="2">
        <v>49.947000000000003</v>
      </c>
      <c r="M212" s="7">
        <f t="shared" si="233"/>
        <v>1</v>
      </c>
    </row>
    <row r="213" spans="1:13" x14ac:dyDescent="0.25">
      <c r="A213" s="1" t="str">
        <f t="shared" ref="A213:E213" si="251">A154</f>
        <v>P148</v>
      </c>
      <c r="B213" s="1">
        <f t="shared" si="251"/>
        <v>148</v>
      </c>
      <c r="C213" s="1">
        <f t="shared" si="251"/>
        <v>306</v>
      </c>
      <c r="D213" s="1">
        <f t="shared" si="251"/>
        <v>9</v>
      </c>
      <c r="E213" s="1">
        <f t="shared" si="251"/>
        <v>17</v>
      </c>
      <c r="F213" s="2">
        <f t="shared" si="227"/>
        <v>4</v>
      </c>
      <c r="H213" s="2">
        <v>9</v>
      </c>
      <c r="I213" s="2">
        <v>18</v>
      </c>
      <c r="J213" s="2">
        <v>0</v>
      </c>
      <c r="K213" s="2">
        <v>300.91500000000002</v>
      </c>
      <c r="M213" s="7">
        <f t="shared" si="233"/>
        <v>0</v>
      </c>
    </row>
    <row r="214" spans="1:13" x14ac:dyDescent="0.25">
      <c r="A214" s="1" t="str">
        <f t="shared" ref="A214:E214" si="252">A155</f>
        <v>P148</v>
      </c>
      <c r="B214" s="1">
        <f t="shared" si="252"/>
        <v>148</v>
      </c>
      <c r="C214" s="1">
        <f t="shared" si="252"/>
        <v>357</v>
      </c>
      <c r="D214" s="1">
        <f t="shared" si="252"/>
        <v>8</v>
      </c>
      <c r="E214" s="1">
        <f t="shared" si="252"/>
        <v>15</v>
      </c>
      <c r="F214" s="2">
        <f t="shared" si="227"/>
        <v>4</v>
      </c>
      <c r="H214" s="2">
        <v>8</v>
      </c>
      <c r="I214" s="2">
        <v>15</v>
      </c>
      <c r="J214" s="2">
        <v>1</v>
      </c>
      <c r="K214" s="2">
        <v>5.069</v>
      </c>
      <c r="M214" s="7">
        <f t="shared" si="233"/>
        <v>1</v>
      </c>
    </row>
    <row r="215" spans="1:13" x14ac:dyDescent="0.25">
      <c r="A215" s="1" t="str">
        <f t="shared" ref="A215:E215" si="253">A156</f>
        <v>P148</v>
      </c>
      <c r="B215" s="1">
        <f t="shared" si="253"/>
        <v>148</v>
      </c>
      <c r="C215" s="1">
        <f t="shared" si="253"/>
        <v>378</v>
      </c>
      <c r="D215" s="1">
        <f t="shared" si="253"/>
        <v>7</v>
      </c>
      <c r="E215" s="1">
        <f t="shared" si="253"/>
        <v>14</v>
      </c>
      <c r="F215" s="2">
        <f t="shared" si="227"/>
        <v>4</v>
      </c>
      <c r="H215" s="2">
        <v>8</v>
      </c>
      <c r="I215" s="2">
        <v>14</v>
      </c>
      <c r="J215" s="2">
        <v>0</v>
      </c>
      <c r="K215" s="2">
        <v>301.38799999999998</v>
      </c>
      <c r="M215" s="7">
        <f t="shared" si="233"/>
        <v>0</v>
      </c>
    </row>
    <row r="216" spans="1:13" x14ac:dyDescent="0.25">
      <c r="A216" s="1" t="str">
        <f t="shared" ref="A216:E216" si="254">A157</f>
        <v>P148</v>
      </c>
      <c r="B216" s="1">
        <f t="shared" si="254"/>
        <v>148</v>
      </c>
      <c r="C216" s="1">
        <f t="shared" si="254"/>
        <v>408</v>
      </c>
      <c r="D216" s="1">
        <f t="shared" si="254"/>
        <v>7</v>
      </c>
      <c r="E216" s="1">
        <f t="shared" si="254"/>
        <v>13</v>
      </c>
      <c r="F216" s="2">
        <f t="shared" si="227"/>
        <v>4</v>
      </c>
      <c r="H216" s="2">
        <v>8</v>
      </c>
      <c r="I216" s="2">
        <v>13</v>
      </c>
      <c r="J216" s="2">
        <v>0</v>
      </c>
      <c r="K216" s="2">
        <v>301.16000000000003</v>
      </c>
      <c r="M216" s="7">
        <f t="shared" si="233"/>
        <v>0</v>
      </c>
    </row>
    <row r="217" spans="1:13" x14ac:dyDescent="0.25">
      <c r="A217" s="1" t="str">
        <f t="shared" ref="A217:E217" si="255">A158</f>
        <v>P148</v>
      </c>
      <c r="B217" s="1">
        <f t="shared" si="255"/>
        <v>148</v>
      </c>
      <c r="C217" s="1">
        <f t="shared" si="255"/>
        <v>454</v>
      </c>
      <c r="D217" s="1">
        <f t="shared" si="255"/>
        <v>6</v>
      </c>
      <c r="E217" s="1">
        <f t="shared" si="255"/>
        <v>12</v>
      </c>
      <c r="F217" s="2">
        <f t="shared" si="227"/>
        <v>4</v>
      </c>
      <c r="H217" s="2">
        <v>7</v>
      </c>
      <c r="I217" s="2">
        <v>12</v>
      </c>
      <c r="J217" s="2">
        <v>0</v>
      </c>
      <c r="K217" s="2">
        <v>300.10199999999998</v>
      </c>
      <c r="M217" s="7">
        <f t="shared" si="233"/>
        <v>0</v>
      </c>
    </row>
    <row r="218" spans="1:13" x14ac:dyDescent="0.25">
      <c r="A218" s="1" t="str">
        <f t="shared" ref="A218:E218" si="256">A159</f>
        <v>P148</v>
      </c>
      <c r="B218" s="1">
        <f t="shared" si="256"/>
        <v>148</v>
      </c>
      <c r="C218" s="1">
        <f t="shared" si="256"/>
        <v>459</v>
      </c>
      <c r="D218" s="1">
        <f t="shared" si="256"/>
        <v>6</v>
      </c>
      <c r="E218" s="1">
        <f t="shared" si="256"/>
        <v>12</v>
      </c>
      <c r="F218" s="2">
        <f t="shared" si="227"/>
        <v>4</v>
      </c>
      <c r="H218" s="2">
        <v>7</v>
      </c>
      <c r="I218" s="2">
        <v>12</v>
      </c>
      <c r="J218" s="2">
        <v>0</v>
      </c>
      <c r="K218" s="2">
        <v>301.08600000000001</v>
      </c>
      <c r="M218" s="7">
        <f t="shared" si="233"/>
        <v>0</v>
      </c>
    </row>
    <row r="219" spans="1:13" x14ac:dyDescent="0.25">
      <c r="A219" s="1" t="str">
        <f t="shared" ref="A219:E219" si="257">A160</f>
        <v>P148</v>
      </c>
      <c r="B219" s="1">
        <f t="shared" si="257"/>
        <v>148</v>
      </c>
      <c r="C219" s="1">
        <f t="shared" si="257"/>
        <v>510</v>
      </c>
      <c r="D219" s="1">
        <f t="shared" si="257"/>
        <v>6</v>
      </c>
      <c r="E219" s="1">
        <f t="shared" si="257"/>
        <v>11</v>
      </c>
      <c r="F219" s="2">
        <f t="shared" si="227"/>
        <v>4</v>
      </c>
      <c r="H219" s="2">
        <v>7</v>
      </c>
      <c r="I219" s="2">
        <v>11</v>
      </c>
      <c r="J219" s="2">
        <v>0</v>
      </c>
      <c r="K219" s="2">
        <v>300.90699999999998</v>
      </c>
      <c r="M219" s="7">
        <f t="shared" si="233"/>
        <v>0</v>
      </c>
    </row>
    <row r="220" spans="1:13" x14ac:dyDescent="0.25">
      <c r="A220" s="1" t="str">
        <f t="shared" ref="A220:E220" si="258">A161</f>
        <v>P205</v>
      </c>
      <c r="B220" s="1">
        <f t="shared" si="258"/>
        <v>205</v>
      </c>
      <c r="C220" s="1">
        <f t="shared" si="258"/>
        <v>1133</v>
      </c>
      <c r="D220" s="1">
        <f t="shared" si="258"/>
        <v>11</v>
      </c>
      <c r="E220" s="1">
        <f t="shared" si="258"/>
        <v>21</v>
      </c>
      <c r="F220" s="2">
        <f t="shared" si="227"/>
        <v>4</v>
      </c>
      <c r="H220" s="2">
        <v>11</v>
      </c>
      <c r="I220" s="2">
        <v>22</v>
      </c>
      <c r="J220" s="2">
        <v>0</v>
      </c>
      <c r="K220" s="2">
        <v>300.983</v>
      </c>
      <c r="M220" s="7">
        <f t="shared" si="233"/>
        <v>0</v>
      </c>
    </row>
    <row r="221" spans="1:13" x14ac:dyDescent="0.25">
      <c r="A221" s="1" t="str">
        <f t="shared" ref="A221:E221" si="259">A162</f>
        <v>P205</v>
      </c>
      <c r="B221" s="1">
        <f t="shared" si="259"/>
        <v>205</v>
      </c>
      <c r="C221" s="1">
        <f t="shared" si="259"/>
        <v>1275</v>
      </c>
      <c r="D221" s="1">
        <f t="shared" si="259"/>
        <v>10</v>
      </c>
      <c r="E221" s="1">
        <f t="shared" si="259"/>
        <v>19</v>
      </c>
      <c r="F221" s="2">
        <f t="shared" si="227"/>
        <v>4</v>
      </c>
      <c r="H221" s="2">
        <v>11</v>
      </c>
      <c r="I221" s="2">
        <v>22</v>
      </c>
      <c r="J221" s="2">
        <v>0</v>
      </c>
      <c r="K221" s="2">
        <v>300.88499999999999</v>
      </c>
      <c r="M221" s="7">
        <f t="shared" si="233"/>
        <v>0</v>
      </c>
    </row>
    <row r="222" spans="1:13" x14ac:dyDescent="0.25">
      <c r="A222" s="1" t="str">
        <f t="shared" ref="A222:E222" si="260">A163</f>
        <v>P205</v>
      </c>
      <c r="B222" s="1">
        <f t="shared" si="260"/>
        <v>205</v>
      </c>
      <c r="C222" s="1">
        <f t="shared" si="260"/>
        <v>1322</v>
      </c>
      <c r="D222" s="1">
        <f t="shared" si="260"/>
        <v>9</v>
      </c>
      <c r="E222" s="1">
        <f t="shared" si="260"/>
        <v>18</v>
      </c>
      <c r="F222" s="2">
        <f t="shared" si="227"/>
        <v>4</v>
      </c>
      <c r="H222" s="2">
        <v>10</v>
      </c>
      <c r="I222" s="2">
        <v>19</v>
      </c>
      <c r="J222" s="2">
        <v>0</v>
      </c>
      <c r="K222" s="2">
        <v>300.65499999999997</v>
      </c>
      <c r="M222" s="7">
        <f t="shared" si="233"/>
        <v>0</v>
      </c>
    </row>
    <row r="223" spans="1:13" x14ac:dyDescent="0.25">
      <c r="A223" s="1" t="str">
        <f t="shared" ref="A223:E223" si="261">A164</f>
        <v>P205</v>
      </c>
      <c r="B223" s="1">
        <f t="shared" si="261"/>
        <v>205</v>
      </c>
      <c r="C223" s="1">
        <f t="shared" si="261"/>
        <v>1455</v>
      </c>
      <c r="D223" s="1">
        <f t="shared" si="261"/>
        <v>9</v>
      </c>
      <c r="E223" s="1">
        <f t="shared" si="261"/>
        <v>17</v>
      </c>
      <c r="F223" s="2">
        <f t="shared" si="227"/>
        <v>4</v>
      </c>
      <c r="H223" s="2">
        <v>10</v>
      </c>
      <c r="I223" s="2">
        <v>18</v>
      </c>
      <c r="J223" s="2">
        <v>0</v>
      </c>
      <c r="K223" s="2">
        <v>301.43299999999999</v>
      </c>
      <c r="M223" s="7">
        <f t="shared" si="233"/>
        <v>0</v>
      </c>
    </row>
    <row r="224" spans="1:13" x14ac:dyDescent="0.25">
      <c r="A224" s="1" t="str">
        <f t="shared" ref="A224:E224" si="262">A165</f>
        <v>P205</v>
      </c>
      <c r="B224" s="1">
        <f t="shared" si="262"/>
        <v>205</v>
      </c>
      <c r="C224" s="1">
        <f t="shared" si="262"/>
        <v>1510</v>
      </c>
      <c r="D224" s="1">
        <f t="shared" si="262"/>
        <v>8</v>
      </c>
      <c r="E224" s="1">
        <f t="shared" si="262"/>
        <v>16</v>
      </c>
      <c r="F224" s="2">
        <f t="shared" si="227"/>
        <v>4</v>
      </c>
      <c r="H224" s="2">
        <v>9</v>
      </c>
      <c r="I224" s="2">
        <v>18</v>
      </c>
      <c r="J224" s="2">
        <v>0</v>
      </c>
      <c r="K224" s="2">
        <v>300.84199999999998</v>
      </c>
      <c r="M224" s="7">
        <f t="shared" si="233"/>
        <v>0</v>
      </c>
    </row>
    <row r="225" spans="1:13" x14ac:dyDescent="0.25">
      <c r="A225" s="1" t="str">
        <f t="shared" ref="A225:E225" si="263">A166</f>
        <v>P205</v>
      </c>
      <c r="B225" s="1">
        <f t="shared" si="263"/>
        <v>205</v>
      </c>
      <c r="C225" s="1">
        <f t="shared" si="263"/>
        <v>1650</v>
      </c>
      <c r="D225" s="1">
        <f t="shared" si="263"/>
        <v>8</v>
      </c>
      <c r="E225" s="1">
        <f t="shared" si="263"/>
        <v>15</v>
      </c>
      <c r="F225" s="2">
        <f t="shared" si="227"/>
        <v>4</v>
      </c>
      <c r="H225" s="2">
        <v>9</v>
      </c>
      <c r="I225" s="2">
        <v>18</v>
      </c>
      <c r="J225" s="2">
        <v>0</v>
      </c>
      <c r="K225" s="2">
        <v>300.61500000000001</v>
      </c>
      <c r="M225" s="7">
        <f t="shared" si="233"/>
        <v>0</v>
      </c>
    </row>
    <row r="226" spans="1:13" x14ac:dyDescent="0.25">
      <c r="A226" s="1" t="str">
        <f t="shared" ref="A226:E226" si="264">A167</f>
        <v>P205</v>
      </c>
      <c r="B226" s="1">
        <f t="shared" si="264"/>
        <v>205</v>
      </c>
      <c r="C226" s="1">
        <f t="shared" si="264"/>
        <v>1699</v>
      </c>
      <c r="D226" s="1">
        <f t="shared" si="264"/>
        <v>7</v>
      </c>
      <c r="E226" s="1">
        <f t="shared" si="264"/>
        <v>14</v>
      </c>
      <c r="F226" s="2">
        <f t="shared" si="227"/>
        <v>4</v>
      </c>
      <c r="H226" s="2">
        <v>8</v>
      </c>
      <c r="I226" s="2">
        <v>16</v>
      </c>
      <c r="J226" s="2">
        <v>0</v>
      </c>
      <c r="K226" s="2">
        <v>301.28399999999999</v>
      </c>
      <c r="M226" s="7">
        <f t="shared" si="233"/>
        <v>0</v>
      </c>
    </row>
    <row r="227" spans="1:13" x14ac:dyDescent="0.25">
      <c r="A227" s="1" t="str">
        <f t="shared" ref="A227:E227" si="265">A168</f>
        <v>P205</v>
      </c>
      <c r="B227" s="1">
        <f t="shared" si="265"/>
        <v>205</v>
      </c>
      <c r="C227" s="1">
        <f t="shared" si="265"/>
        <v>1888</v>
      </c>
      <c r="D227" s="1">
        <f t="shared" si="265"/>
        <v>7</v>
      </c>
      <c r="E227" s="1">
        <f t="shared" si="265"/>
        <v>13</v>
      </c>
      <c r="F227" s="2">
        <f t="shared" si="227"/>
        <v>4</v>
      </c>
      <c r="H227" s="2">
        <v>8</v>
      </c>
      <c r="I227" s="2">
        <v>16</v>
      </c>
      <c r="J227" s="2">
        <v>0</v>
      </c>
      <c r="K227" s="2">
        <v>301.07600000000002</v>
      </c>
      <c r="M227" s="7">
        <f t="shared" si="233"/>
        <v>0</v>
      </c>
    </row>
    <row r="228" spans="1:13" x14ac:dyDescent="0.25">
      <c r="A228" s="1" t="str">
        <f t="shared" ref="A228:E228" si="266">A169</f>
        <v>P205</v>
      </c>
      <c r="B228" s="1">
        <f t="shared" si="266"/>
        <v>205</v>
      </c>
      <c r="C228" s="1">
        <f t="shared" si="266"/>
        <v>1920</v>
      </c>
      <c r="D228" s="1">
        <f t="shared" si="266"/>
        <v>7</v>
      </c>
      <c r="E228" s="1">
        <f t="shared" si="266"/>
        <v>13</v>
      </c>
      <c r="F228" s="2">
        <f t="shared" si="227"/>
        <v>4</v>
      </c>
      <c r="H228" s="2">
        <v>8</v>
      </c>
      <c r="I228" s="2">
        <v>16</v>
      </c>
      <c r="J228" s="2">
        <v>0</v>
      </c>
      <c r="K228" s="2">
        <v>300.80399999999997</v>
      </c>
      <c r="M228" s="7">
        <f t="shared" si="233"/>
        <v>0</v>
      </c>
    </row>
    <row r="229" spans="1:13" x14ac:dyDescent="0.25">
      <c r="A229" s="1" t="str">
        <f t="shared" ref="A229:E229" si="267">A170</f>
        <v>P205</v>
      </c>
      <c r="B229" s="1">
        <f t="shared" si="267"/>
        <v>205</v>
      </c>
      <c r="C229" s="1">
        <f t="shared" si="267"/>
        <v>2077</v>
      </c>
      <c r="D229" s="1">
        <f t="shared" si="267"/>
        <v>6</v>
      </c>
      <c r="E229" s="1">
        <f t="shared" si="267"/>
        <v>12</v>
      </c>
      <c r="F229" s="2">
        <f t="shared" si="227"/>
        <v>4</v>
      </c>
      <c r="H229" s="2">
        <v>7</v>
      </c>
      <c r="I229" s="2">
        <v>14</v>
      </c>
      <c r="J229" s="2">
        <v>0</v>
      </c>
      <c r="K229" s="2">
        <v>300.86700000000002</v>
      </c>
      <c r="M229" s="7">
        <f t="shared" si="233"/>
        <v>0</v>
      </c>
    </row>
    <row r="230" spans="1:13" x14ac:dyDescent="0.25">
      <c r="A230" s="1" t="str">
        <f t="shared" ref="A230:E230" si="268">A171</f>
        <v>P205</v>
      </c>
      <c r="B230" s="1">
        <f t="shared" si="268"/>
        <v>205</v>
      </c>
      <c r="C230" s="1">
        <f t="shared" si="268"/>
        <v>2100</v>
      </c>
      <c r="D230" s="1">
        <f t="shared" si="268"/>
        <v>6</v>
      </c>
      <c r="E230" s="1">
        <f t="shared" si="268"/>
        <v>12</v>
      </c>
      <c r="F230" s="2">
        <f t="shared" si="227"/>
        <v>4</v>
      </c>
      <c r="H230" s="2">
        <v>8</v>
      </c>
      <c r="I230" s="2">
        <v>15</v>
      </c>
      <c r="J230" s="2">
        <v>0</v>
      </c>
      <c r="K230" s="2">
        <v>300.88900000000001</v>
      </c>
      <c r="M230" s="7">
        <f t="shared" si="233"/>
        <v>0</v>
      </c>
    </row>
    <row r="231" spans="1:13" x14ac:dyDescent="0.25">
      <c r="A231" s="1" t="str">
        <f t="shared" ref="A231:E231" si="269">A172</f>
        <v>P205</v>
      </c>
      <c r="B231" s="1">
        <f t="shared" si="269"/>
        <v>205</v>
      </c>
      <c r="C231" s="1">
        <f t="shared" si="269"/>
        <v>2266</v>
      </c>
      <c r="D231" s="1">
        <f t="shared" si="269"/>
        <v>6</v>
      </c>
      <c r="E231" s="1">
        <f t="shared" si="269"/>
        <v>11</v>
      </c>
      <c r="F231" s="2">
        <f t="shared" si="227"/>
        <v>4</v>
      </c>
      <c r="H231" s="2">
        <v>7</v>
      </c>
      <c r="I231" s="2">
        <v>14</v>
      </c>
      <c r="J231" s="2">
        <v>0</v>
      </c>
      <c r="K231" s="2">
        <v>300.56599999999997</v>
      </c>
      <c r="M231" s="7">
        <f t="shared" si="233"/>
        <v>0</v>
      </c>
    </row>
    <row r="232" spans="1:13" x14ac:dyDescent="0.25">
      <c r="A232" s="1" t="str">
        <f t="shared" ref="A232:E232" si="270">A173</f>
        <v>P205</v>
      </c>
      <c r="B232" s="1">
        <f t="shared" si="270"/>
        <v>205</v>
      </c>
      <c r="C232" s="1">
        <f t="shared" si="270"/>
        <v>2300</v>
      </c>
      <c r="D232" s="1">
        <f t="shared" si="270"/>
        <v>6</v>
      </c>
      <c r="E232" s="1">
        <f t="shared" si="270"/>
        <v>11</v>
      </c>
      <c r="F232" s="2">
        <f t="shared" si="227"/>
        <v>4</v>
      </c>
      <c r="H232" s="2">
        <v>7</v>
      </c>
      <c r="I232" s="2">
        <v>14</v>
      </c>
      <c r="J232" s="2">
        <v>0</v>
      </c>
      <c r="K232" s="2">
        <v>300.96499999999997</v>
      </c>
      <c r="M232" s="7">
        <f t="shared" si="233"/>
        <v>0</v>
      </c>
    </row>
    <row r="233" spans="1:13" x14ac:dyDescent="0.25">
      <c r="A233" s="1" t="str">
        <f t="shared" ref="A233:E233" si="271">A174</f>
        <v>P205</v>
      </c>
      <c r="B233" s="1">
        <f t="shared" si="271"/>
        <v>205</v>
      </c>
      <c r="C233" s="1">
        <f t="shared" si="271"/>
        <v>2454</v>
      </c>
      <c r="D233" s="1">
        <f t="shared" si="271"/>
        <v>5</v>
      </c>
      <c r="E233" s="1">
        <f t="shared" si="271"/>
        <v>10</v>
      </c>
      <c r="F233" s="2">
        <f t="shared" si="227"/>
        <v>4</v>
      </c>
      <c r="H233" s="2">
        <v>6</v>
      </c>
      <c r="I233" s="2">
        <v>12</v>
      </c>
      <c r="J233" s="2">
        <v>0</v>
      </c>
      <c r="K233" s="2">
        <v>300.87799999999999</v>
      </c>
      <c r="M233" s="7">
        <f t="shared" si="233"/>
        <v>0</v>
      </c>
    </row>
    <row r="234" spans="1:13" x14ac:dyDescent="0.25">
      <c r="A234" s="1" t="str">
        <f t="shared" ref="A234:E234" si="272">A175</f>
        <v>P205</v>
      </c>
      <c r="B234" s="1">
        <f t="shared" si="272"/>
        <v>205</v>
      </c>
      <c r="C234" s="1">
        <f t="shared" si="272"/>
        <v>2500</v>
      </c>
      <c r="D234" s="1">
        <f t="shared" si="272"/>
        <v>5</v>
      </c>
      <c r="E234" s="1">
        <f t="shared" si="272"/>
        <v>10</v>
      </c>
      <c r="F234" s="2">
        <f t="shared" si="227"/>
        <v>4</v>
      </c>
      <c r="H234" s="2">
        <v>6</v>
      </c>
      <c r="I234" s="2">
        <v>12</v>
      </c>
      <c r="J234" s="2">
        <v>0</v>
      </c>
      <c r="K234" s="2">
        <v>301.19900000000001</v>
      </c>
      <c r="M234" s="7">
        <f t="shared" si="233"/>
        <v>0</v>
      </c>
    </row>
    <row r="235" spans="1:13" x14ac:dyDescent="0.25">
      <c r="A235" s="1" t="str">
        <f t="shared" ref="A235:E235" si="273">A176</f>
        <v>P205</v>
      </c>
      <c r="B235" s="1">
        <f t="shared" si="273"/>
        <v>205</v>
      </c>
      <c r="C235" s="1">
        <f t="shared" si="273"/>
        <v>2643</v>
      </c>
      <c r="D235" s="1">
        <f t="shared" si="273"/>
        <v>5</v>
      </c>
      <c r="E235" s="1">
        <f t="shared" si="273"/>
        <v>9</v>
      </c>
      <c r="F235" s="2">
        <f t="shared" si="227"/>
        <v>4</v>
      </c>
      <c r="H235" s="2">
        <v>6</v>
      </c>
      <c r="I235" s="2">
        <v>12</v>
      </c>
      <c r="J235" s="2">
        <v>0</v>
      </c>
      <c r="K235" s="2">
        <v>300.72399999999999</v>
      </c>
      <c r="M235" s="7">
        <f t="shared" si="233"/>
        <v>0</v>
      </c>
    </row>
    <row r="236" spans="1:13" x14ac:dyDescent="0.25">
      <c r="A236" s="1" t="str">
        <f t="shared" ref="A236:E236" si="274">A177</f>
        <v>P205</v>
      </c>
      <c r="B236" s="1">
        <f t="shared" si="274"/>
        <v>205</v>
      </c>
      <c r="C236" s="1">
        <f t="shared" si="274"/>
        <v>2800</v>
      </c>
      <c r="D236" s="1">
        <f t="shared" si="274"/>
        <v>5</v>
      </c>
      <c r="E236" s="1">
        <f t="shared" si="274"/>
        <v>9</v>
      </c>
      <c r="F236" s="2">
        <f t="shared" si="227"/>
        <v>4</v>
      </c>
      <c r="H236" s="2">
        <v>6</v>
      </c>
      <c r="I236" s="2">
        <v>12</v>
      </c>
      <c r="J236" s="2">
        <v>0</v>
      </c>
      <c r="K236" s="2">
        <v>300.84100000000001</v>
      </c>
      <c r="M236" s="7">
        <f t="shared" si="233"/>
        <v>0</v>
      </c>
    </row>
    <row r="237" spans="1:13" x14ac:dyDescent="0.25">
      <c r="A237" s="1" t="str">
        <f t="shared" ref="A237:E237" si="275">A178</f>
        <v>P205</v>
      </c>
      <c r="B237" s="1">
        <f t="shared" si="275"/>
        <v>205</v>
      </c>
      <c r="C237" s="1">
        <f t="shared" si="275"/>
        <v>2832</v>
      </c>
      <c r="D237" s="1">
        <f t="shared" si="275"/>
        <v>5</v>
      </c>
      <c r="E237" s="1">
        <f t="shared" si="275"/>
        <v>9</v>
      </c>
      <c r="F237" s="2">
        <f t="shared" si="227"/>
        <v>4</v>
      </c>
      <c r="H237" s="2">
        <v>6</v>
      </c>
      <c r="I237" s="2">
        <v>12</v>
      </c>
      <c r="J237" s="2">
        <v>0</v>
      </c>
      <c r="K237" s="2">
        <v>301.11799999999999</v>
      </c>
      <c r="M237" s="7">
        <f t="shared" si="233"/>
        <v>0</v>
      </c>
    </row>
    <row r="238" spans="1:13" x14ac:dyDescent="0.25">
      <c r="A238" s="1" t="str">
        <f t="shared" ref="A238:E238" si="276">A179</f>
        <v>P9</v>
      </c>
      <c r="B238" s="1">
        <f t="shared" si="276"/>
        <v>9</v>
      </c>
      <c r="C238" s="1">
        <f t="shared" si="276"/>
        <v>3</v>
      </c>
      <c r="D238" s="1">
        <f t="shared" si="276"/>
        <v>3</v>
      </c>
      <c r="E238" s="1">
        <f t="shared" si="276"/>
        <v>6</v>
      </c>
      <c r="F238" s="2">
        <f t="shared" si="227"/>
        <v>5</v>
      </c>
      <c r="H238" s="2">
        <v>3</v>
      </c>
      <c r="I238" s="2">
        <v>6</v>
      </c>
      <c r="J238" s="2">
        <v>1</v>
      </c>
      <c r="K238" s="2">
        <v>1E-3</v>
      </c>
      <c r="M238" s="7">
        <f t="shared" si="233"/>
        <v>1</v>
      </c>
    </row>
    <row r="239" spans="1:13" x14ac:dyDescent="0.25">
      <c r="A239" s="1" t="str">
        <f t="shared" ref="A239:E239" si="277">A180</f>
        <v>P9</v>
      </c>
      <c r="B239" s="1">
        <f t="shared" si="277"/>
        <v>9</v>
      </c>
      <c r="C239" s="1">
        <f t="shared" si="277"/>
        <v>4</v>
      </c>
      <c r="D239" s="1">
        <f t="shared" si="277"/>
        <v>3</v>
      </c>
      <c r="E239" s="1">
        <f t="shared" si="277"/>
        <v>5</v>
      </c>
      <c r="F239" s="2">
        <f t="shared" si="227"/>
        <v>5</v>
      </c>
      <c r="H239" s="2">
        <v>3</v>
      </c>
      <c r="I239" s="2">
        <v>5</v>
      </c>
      <c r="J239" s="2">
        <v>1</v>
      </c>
      <c r="K239" s="2">
        <v>2E-3</v>
      </c>
      <c r="M239" s="7">
        <f t="shared" si="233"/>
        <v>1</v>
      </c>
    </row>
    <row r="240" spans="1:13" x14ac:dyDescent="0.25">
      <c r="A240" s="1" t="str">
        <f t="shared" ref="A240:E240" si="278">A181</f>
        <v>P9</v>
      </c>
      <c r="B240" s="1">
        <f t="shared" si="278"/>
        <v>9</v>
      </c>
      <c r="C240" s="1">
        <f t="shared" si="278"/>
        <v>5</v>
      </c>
      <c r="D240" s="1">
        <f t="shared" si="278"/>
        <v>2</v>
      </c>
      <c r="E240" s="1">
        <f t="shared" si="278"/>
        <v>4</v>
      </c>
      <c r="F240" s="2">
        <f t="shared" si="227"/>
        <v>5</v>
      </c>
      <c r="H240" s="2">
        <v>2</v>
      </c>
      <c r="I240" s="2">
        <v>4</v>
      </c>
      <c r="J240" s="2">
        <v>1</v>
      </c>
      <c r="K240" s="2">
        <v>2E-3</v>
      </c>
      <c r="M240" s="7">
        <f t="shared" si="233"/>
        <v>1</v>
      </c>
    </row>
    <row r="241" spans="1:13" x14ac:dyDescent="0.25">
      <c r="A241" s="1" t="str">
        <f t="shared" ref="A241:E241" si="279">A182</f>
        <v>P9</v>
      </c>
      <c r="B241" s="1">
        <f t="shared" si="279"/>
        <v>9</v>
      </c>
      <c r="C241" s="1">
        <f t="shared" si="279"/>
        <v>6</v>
      </c>
      <c r="D241" s="1">
        <f t="shared" si="279"/>
        <v>2</v>
      </c>
      <c r="E241" s="1">
        <f t="shared" si="279"/>
        <v>3</v>
      </c>
      <c r="F241" s="2">
        <f t="shared" si="227"/>
        <v>5</v>
      </c>
      <c r="H241" s="2">
        <v>2</v>
      </c>
      <c r="I241" s="2">
        <v>3</v>
      </c>
      <c r="J241" s="2">
        <v>1</v>
      </c>
      <c r="K241" s="2">
        <v>2E-3</v>
      </c>
      <c r="M241" s="7">
        <f t="shared" si="233"/>
        <v>1</v>
      </c>
    </row>
    <row r="242" spans="1:13" x14ac:dyDescent="0.25">
      <c r="A242" s="1" t="str">
        <f t="shared" ref="A242:E242" si="280">A183</f>
        <v>P9</v>
      </c>
      <c r="B242" s="1">
        <f t="shared" si="280"/>
        <v>9</v>
      </c>
      <c r="C242" s="1">
        <f t="shared" si="280"/>
        <v>7</v>
      </c>
      <c r="D242" s="1">
        <f t="shared" si="280"/>
        <v>2</v>
      </c>
      <c r="E242" s="1">
        <f t="shared" si="280"/>
        <v>3</v>
      </c>
      <c r="F242" s="2">
        <f t="shared" si="227"/>
        <v>5</v>
      </c>
      <c r="H242" s="2">
        <v>2</v>
      </c>
      <c r="I242" s="2">
        <v>3</v>
      </c>
      <c r="J242" s="2">
        <v>1</v>
      </c>
      <c r="K242" s="2">
        <v>2E-3</v>
      </c>
      <c r="M242" s="7">
        <f t="shared" si="233"/>
        <v>1</v>
      </c>
    </row>
    <row r="243" spans="1:13" x14ac:dyDescent="0.25">
      <c r="A243" s="1" t="str">
        <f t="shared" ref="A243:E243" si="281">A184</f>
        <v>P12</v>
      </c>
      <c r="B243" s="1">
        <f t="shared" si="281"/>
        <v>12</v>
      </c>
      <c r="C243" s="1">
        <f t="shared" si="281"/>
        <v>4</v>
      </c>
      <c r="D243" s="1">
        <f t="shared" si="281"/>
        <v>4</v>
      </c>
      <c r="E243" s="1">
        <f t="shared" si="281"/>
        <v>7</v>
      </c>
      <c r="F243" s="2">
        <f t="shared" si="227"/>
        <v>5</v>
      </c>
      <c r="H243" s="2">
        <v>4</v>
      </c>
      <c r="I243" s="2">
        <v>7</v>
      </c>
      <c r="J243" s="2">
        <v>1</v>
      </c>
      <c r="K243" s="2">
        <v>2E-3</v>
      </c>
      <c r="M243" s="7">
        <f t="shared" si="233"/>
        <v>1</v>
      </c>
    </row>
    <row r="244" spans="1:13" x14ac:dyDescent="0.25">
      <c r="A244" s="1" t="str">
        <f t="shared" ref="A244:E244" si="282">A185</f>
        <v>P12</v>
      </c>
      <c r="B244" s="1">
        <f t="shared" si="282"/>
        <v>12</v>
      </c>
      <c r="C244" s="1">
        <f t="shared" si="282"/>
        <v>5</v>
      </c>
      <c r="D244" s="1">
        <f t="shared" si="282"/>
        <v>3</v>
      </c>
      <c r="E244" s="1">
        <f t="shared" si="282"/>
        <v>6</v>
      </c>
      <c r="F244" s="2">
        <f t="shared" si="227"/>
        <v>5</v>
      </c>
      <c r="H244" s="2">
        <v>3</v>
      </c>
      <c r="I244" s="2">
        <v>6</v>
      </c>
      <c r="J244" s="2">
        <v>1</v>
      </c>
      <c r="K244" s="2">
        <v>0.61399999999999999</v>
      </c>
      <c r="M244" s="7">
        <f t="shared" si="233"/>
        <v>1</v>
      </c>
    </row>
    <row r="245" spans="1:13" x14ac:dyDescent="0.25">
      <c r="A245" s="1" t="str">
        <f t="shared" ref="A245:E245" si="283">A186</f>
        <v>P12</v>
      </c>
      <c r="B245" s="1">
        <f t="shared" si="283"/>
        <v>12</v>
      </c>
      <c r="C245" s="1">
        <f t="shared" si="283"/>
        <v>6</v>
      </c>
      <c r="D245" s="1">
        <f t="shared" si="283"/>
        <v>3</v>
      </c>
      <c r="E245" s="1">
        <f t="shared" si="283"/>
        <v>5</v>
      </c>
      <c r="F245" s="2">
        <f t="shared" si="227"/>
        <v>5</v>
      </c>
      <c r="H245" s="2">
        <v>3</v>
      </c>
      <c r="I245" s="2">
        <v>5</v>
      </c>
      <c r="J245" s="2">
        <v>1</v>
      </c>
      <c r="K245" s="2">
        <v>2E-3</v>
      </c>
      <c r="M245" s="7">
        <f t="shared" si="233"/>
        <v>1</v>
      </c>
    </row>
    <row r="246" spans="1:13" x14ac:dyDescent="0.25">
      <c r="A246" s="1" t="str">
        <f t="shared" ref="A246:E246" si="284">A187</f>
        <v>P12</v>
      </c>
      <c r="B246" s="1">
        <f t="shared" si="284"/>
        <v>12</v>
      </c>
      <c r="C246" s="1">
        <f t="shared" si="284"/>
        <v>7</v>
      </c>
      <c r="D246" s="1">
        <f t="shared" si="284"/>
        <v>2</v>
      </c>
      <c r="E246" s="1">
        <f t="shared" si="284"/>
        <v>4</v>
      </c>
      <c r="F246" s="2">
        <f t="shared" si="227"/>
        <v>5</v>
      </c>
      <c r="H246" s="2">
        <v>2</v>
      </c>
      <c r="I246" s="2">
        <v>4</v>
      </c>
      <c r="J246" s="2">
        <v>1</v>
      </c>
      <c r="K246" s="2">
        <v>2E-3</v>
      </c>
      <c r="M246" s="7">
        <f t="shared" si="233"/>
        <v>1</v>
      </c>
    </row>
    <row r="247" spans="1:13" x14ac:dyDescent="0.25">
      <c r="A247" s="1" t="str">
        <f t="shared" ref="A247:E247" si="285">A188</f>
        <v>P12</v>
      </c>
      <c r="B247" s="1">
        <f t="shared" si="285"/>
        <v>12</v>
      </c>
      <c r="C247" s="1">
        <f t="shared" si="285"/>
        <v>8</v>
      </c>
      <c r="D247" s="1">
        <f t="shared" si="285"/>
        <v>2</v>
      </c>
      <c r="E247" s="1">
        <f t="shared" si="285"/>
        <v>4</v>
      </c>
      <c r="F247" s="2">
        <f t="shared" si="227"/>
        <v>5</v>
      </c>
      <c r="H247" s="2">
        <v>2</v>
      </c>
      <c r="I247" s="2">
        <v>4</v>
      </c>
      <c r="J247" s="2">
        <v>1</v>
      </c>
      <c r="K247" s="2">
        <v>3.0000000000000001E-3</v>
      </c>
      <c r="M247" s="7">
        <f t="shared" si="233"/>
        <v>1</v>
      </c>
    </row>
    <row r="248" spans="1:13" x14ac:dyDescent="0.25">
      <c r="A248" s="1" t="str">
        <f t="shared" ref="A248:E248" si="286">A189</f>
        <v>P12</v>
      </c>
      <c r="B248" s="1">
        <f t="shared" si="286"/>
        <v>12</v>
      </c>
      <c r="C248" s="1">
        <f t="shared" si="286"/>
        <v>9</v>
      </c>
      <c r="D248" s="1">
        <f t="shared" si="286"/>
        <v>2</v>
      </c>
      <c r="E248" s="1">
        <f t="shared" si="286"/>
        <v>3</v>
      </c>
      <c r="F248" s="2">
        <f t="shared" si="227"/>
        <v>5</v>
      </c>
      <c r="H248" s="2">
        <v>2</v>
      </c>
      <c r="I248" s="2">
        <v>3</v>
      </c>
      <c r="J248" s="2">
        <v>1</v>
      </c>
      <c r="K248" s="2">
        <v>8.0000000000000002E-3</v>
      </c>
      <c r="M248" s="7">
        <f t="shared" si="233"/>
        <v>1</v>
      </c>
    </row>
    <row r="249" spans="1:13" x14ac:dyDescent="0.25">
      <c r="A249" s="1" t="str">
        <f t="shared" ref="A249:E249" si="287">A190</f>
        <v>P16</v>
      </c>
      <c r="B249" s="1">
        <f t="shared" si="287"/>
        <v>16</v>
      </c>
      <c r="C249" s="1">
        <f t="shared" si="287"/>
        <v>15</v>
      </c>
      <c r="D249" s="1">
        <f t="shared" si="287"/>
        <v>4</v>
      </c>
      <c r="E249" s="1">
        <f t="shared" si="287"/>
        <v>6</v>
      </c>
      <c r="F249" s="2">
        <f t="shared" si="227"/>
        <v>5</v>
      </c>
      <c r="H249" s="2">
        <v>4</v>
      </c>
      <c r="I249" s="2">
        <v>6</v>
      </c>
      <c r="J249" s="2">
        <v>1</v>
      </c>
      <c r="K249" s="2">
        <v>0.50900000000000001</v>
      </c>
      <c r="M249" s="7">
        <f t="shared" si="233"/>
        <v>1</v>
      </c>
    </row>
    <row r="250" spans="1:13" x14ac:dyDescent="0.25">
      <c r="A250" s="1" t="str">
        <f t="shared" ref="A250:E250" si="288">A191</f>
        <v>P16</v>
      </c>
      <c r="B250" s="1">
        <f t="shared" si="288"/>
        <v>16</v>
      </c>
      <c r="C250" s="1">
        <f t="shared" si="288"/>
        <v>16</v>
      </c>
      <c r="D250" s="1">
        <f t="shared" si="288"/>
        <v>3</v>
      </c>
      <c r="E250" s="1">
        <f t="shared" si="288"/>
        <v>6</v>
      </c>
      <c r="F250" s="2">
        <f t="shared" si="227"/>
        <v>5</v>
      </c>
      <c r="H250" s="2">
        <v>3</v>
      </c>
      <c r="I250" s="2">
        <v>6</v>
      </c>
      <c r="J250" s="2">
        <v>1</v>
      </c>
      <c r="K250" s="2">
        <v>2E-3</v>
      </c>
      <c r="M250" s="7">
        <f t="shared" si="233"/>
        <v>1</v>
      </c>
    </row>
    <row r="251" spans="1:13" x14ac:dyDescent="0.25">
      <c r="A251" s="1" t="str">
        <f t="shared" ref="A251:E251" si="289">A192</f>
        <v>P16</v>
      </c>
      <c r="B251" s="1">
        <f t="shared" si="289"/>
        <v>16</v>
      </c>
      <c r="C251" s="1">
        <f t="shared" si="289"/>
        <v>18</v>
      </c>
      <c r="D251" s="1">
        <f t="shared" si="289"/>
        <v>3</v>
      </c>
      <c r="E251" s="1">
        <f t="shared" si="289"/>
        <v>6</v>
      </c>
      <c r="F251" s="2">
        <f t="shared" si="227"/>
        <v>5</v>
      </c>
      <c r="H251" s="2">
        <v>3</v>
      </c>
      <c r="I251" s="2">
        <v>6</v>
      </c>
      <c r="J251" s="2">
        <v>1</v>
      </c>
      <c r="K251" s="2">
        <v>0.67700000000000005</v>
      </c>
      <c r="M251" s="7">
        <f t="shared" si="233"/>
        <v>1</v>
      </c>
    </row>
    <row r="252" spans="1:13" x14ac:dyDescent="0.25">
      <c r="A252" s="1" t="str">
        <f t="shared" ref="A252:E252" si="290">A193</f>
        <v>P16</v>
      </c>
      <c r="B252" s="1">
        <f t="shared" si="290"/>
        <v>16</v>
      </c>
      <c r="C252" s="1">
        <f t="shared" si="290"/>
        <v>19</v>
      </c>
      <c r="D252" s="1">
        <f t="shared" si="290"/>
        <v>3</v>
      </c>
      <c r="E252" s="1">
        <f t="shared" si="290"/>
        <v>5</v>
      </c>
      <c r="F252" s="2">
        <f t="shared" si="227"/>
        <v>5</v>
      </c>
      <c r="H252" s="2">
        <v>3</v>
      </c>
      <c r="I252" s="2">
        <v>5</v>
      </c>
      <c r="J252" s="2">
        <v>1</v>
      </c>
      <c r="K252" s="2">
        <v>0.52500000000000002</v>
      </c>
      <c r="M252" s="7">
        <f t="shared" si="233"/>
        <v>1</v>
      </c>
    </row>
    <row r="253" spans="1:13" x14ac:dyDescent="0.25">
      <c r="A253" s="1" t="str">
        <f t="shared" ref="A253:E253" si="291">A194</f>
        <v>P16</v>
      </c>
      <c r="B253" s="1">
        <f t="shared" si="291"/>
        <v>16</v>
      </c>
      <c r="C253" s="1">
        <f t="shared" si="291"/>
        <v>20</v>
      </c>
      <c r="D253" s="1">
        <f t="shared" si="291"/>
        <v>3</v>
      </c>
      <c r="E253" s="1">
        <f t="shared" si="291"/>
        <v>5</v>
      </c>
      <c r="F253" s="2">
        <f t="shared" si="227"/>
        <v>5</v>
      </c>
      <c r="H253" s="2">
        <v>3</v>
      </c>
      <c r="I253" s="2">
        <v>5</v>
      </c>
      <c r="J253" s="2">
        <v>1</v>
      </c>
      <c r="K253" s="2">
        <v>0.53200000000000003</v>
      </c>
      <c r="M253" s="7">
        <f t="shared" si="233"/>
        <v>1</v>
      </c>
    </row>
    <row r="254" spans="1:13" x14ac:dyDescent="0.25">
      <c r="A254" s="1" t="str">
        <f t="shared" ref="A254:E254" si="292">A195</f>
        <v>P16</v>
      </c>
      <c r="B254" s="1">
        <f t="shared" si="292"/>
        <v>16</v>
      </c>
      <c r="C254" s="1">
        <f t="shared" si="292"/>
        <v>21</v>
      </c>
      <c r="D254" s="1">
        <f t="shared" si="292"/>
        <v>3</v>
      </c>
      <c r="E254" s="1">
        <f t="shared" si="292"/>
        <v>5</v>
      </c>
      <c r="F254" s="2">
        <f t="shared" ref="F254:F317" si="293">F195+1</f>
        <v>5</v>
      </c>
      <c r="H254" s="2">
        <v>3</v>
      </c>
      <c r="I254" s="2">
        <v>5</v>
      </c>
      <c r="J254" s="2">
        <v>1</v>
      </c>
      <c r="K254" s="2">
        <v>0.69599999999999995</v>
      </c>
      <c r="M254" s="7">
        <f t="shared" si="233"/>
        <v>1</v>
      </c>
    </row>
    <row r="255" spans="1:13" x14ac:dyDescent="0.25">
      <c r="A255" s="1" t="str">
        <f t="shared" ref="A255:E255" si="294">A196</f>
        <v>P16</v>
      </c>
      <c r="B255" s="1">
        <f t="shared" si="294"/>
        <v>16</v>
      </c>
      <c r="C255" s="1">
        <f t="shared" si="294"/>
        <v>22</v>
      </c>
      <c r="D255" s="1">
        <f t="shared" si="294"/>
        <v>2</v>
      </c>
      <c r="E255" s="1">
        <f t="shared" si="294"/>
        <v>4</v>
      </c>
      <c r="F255" s="2">
        <f t="shared" si="293"/>
        <v>5</v>
      </c>
      <c r="H255" s="2">
        <v>2</v>
      </c>
      <c r="I255" s="2">
        <v>4</v>
      </c>
      <c r="J255" s="2">
        <v>1</v>
      </c>
      <c r="K255" s="2">
        <v>8.9999999999999993E-3</v>
      </c>
      <c r="M255" s="7">
        <f t="shared" si="233"/>
        <v>1</v>
      </c>
    </row>
    <row r="256" spans="1:13" x14ac:dyDescent="0.25">
      <c r="A256" s="1" t="str">
        <f t="shared" ref="A256:E256" si="295">A197</f>
        <v>P24</v>
      </c>
      <c r="B256" s="1">
        <f t="shared" si="295"/>
        <v>24</v>
      </c>
      <c r="C256" s="1">
        <f t="shared" si="295"/>
        <v>18</v>
      </c>
      <c r="D256" s="1">
        <f t="shared" si="295"/>
        <v>4</v>
      </c>
      <c r="E256" s="1">
        <f t="shared" si="295"/>
        <v>8</v>
      </c>
      <c r="F256" s="2">
        <f t="shared" si="293"/>
        <v>5</v>
      </c>
      <c r="H256" s="2">
        <v>4</v>
      </c>
      <c r="I256" s="2">
        <v>8</v>
      </c>
      <c r="J256" s="2">
        <v>1</v>
      </c>
      <c r="K256" s="2">
        <v>4.1000000000000002E-2</v>
      </c>
      <c r="M256" s="7">
        <f t="shared" si="233"/>
        <v>1</v>
      </c>
    </row>
    <row r="257" spans="1:13" x14ac:dyDescent="0.25">
      <c r="A257" s="1" t="str">
        <f t="shared" ref="A257:E257" si="296">A198</f>
        <v>P24</v>
      </c>
      <c r="B257" s="1">
        <f t="shared" si="296"/>
        <v>24</v>
      </c>
      <c r="C257" s="1">
        <f t="shared" si="296"/>
        <v>20</v>
      </c>
      <c r="D257" s="1">
        <f t="shared" si="296"/>
        <v>4</v>
      </c>
      <c r="E257" s="1">
        <f t="shared" si="296"/>
        <v>7</v>
      </c>
      <c r="F257" s="2">
        <f t="shared" si="293"/>
        <v>5</v>
      </c>
      <c r="H257" s="2">
        <v>4</v>
      </c>
      <c r="I257" s="2">
        <v>7</v>
      </c>
      <c r="J257" s="2">
        <v>1</v>
      </c>
      <c r="K257" s="2">
        <v>4.4669999999999996</v>
      </c>
      <c r="M257" s="7">
        <f t="shared" si="233"/>
        <v>1</v>
      </c>
    </row>
    <row r="258" spans="1:13" x14ac:dyDescent="0.25">
      <c r="A258" s="1" t="str">
        <f t="shared" ref="A258:E258" si="297">A199</f>
        <v>P24</v>
      </c>
      <c r="B258" s="1">
        <f t="shared" si="297"/>
        <v>24</v>
      </c>
      <c r="C258" s="1">
        <f t="shared" si="297"/>
        <v>24</v>
      </c>
      <c r="D258" s="1">
        <f t="shared" si="297"/>
        <v>3</v>
      </c>
      <c r="E258" s="1">
        <f t="shared" si="297"/>
        <v>6</v>
      </c>
      <c r="F258" s="2">
        <f t="shared" si="293"/>
        <v>5</v>
      </c>
      <c r="H258" s="2">
        <v>3</v>
      </c>
      <c r="I258" s="2">
        <v>6</v>
      </c>
      <c r="J258" s="2">
        <v>1</v>
      </c>
      <c r="K258" s="2">
        <v>4.1000000000000002E-2</v>
      </c>
      <c r="M258" s="7">
        <f t="shared" si="233"/>
        <v>1</v>
      </c>
    </row>
    <row r="259" spans="1:13" x14ac:dyDescent="0.25">
      <c r="A259" s="1" t="str">
        <f t="shared" ref="A259:E259" si="298">A200</f>
        <v>P24</v>
      </c>
      <c r="B259" s="1">
        <f t="shared" si="298"/>
        <v>24</v>
      </c>
      <c r="C259" s="1">
        <f t="shared" si="298"/>
        <v>25</v>
      </c>
      <c r="D259" s="1">
        <f t="shared" si="298"/>
        <v>3</v>
      </c>
      <c r="E259" s="1">
        <f t="shared" si="298"/>
        <v>6</v>
      </c>
      <c r="F259" s="2">
        <f t="shared" si="293"/>
        <v>5</v>
      </c>
      <c r="H259" s="2">
        <v>3</v>
      </c>
      <c r="I259" s="2">
        <v>6</v>
      </c>
      <c r="J259" s="2">
        <v>1</v>
      </c>
      <c r="K259" s="2">
        <v>4.1000000000000002E-2</v>
      </c>
      <c r="M259" s="7">
        <f t="shared" ref="M259:M322" si="299">IF(D259*100+E259=H259*100+I259,1,0)</f>
        <v>1</v>
      </c>
    </row>
    <row r="260" spans="1:13" x14ac:dyDescent="0.25">
      <c r="A260" s="1" t="str">
        <f t="shared" ref="A260:E260" si="300">A201</f>
        <v>P24</v>
      </c>
      <c r="B260" s="1">
        <f t="shared" si="300"/>
        <v>24</v>
      </c>
      <c r="C260" s="1">
        <f t="shared" si="300"/>
        <v>30</v>
      </c>
      <c r="D260" s="1">
        <f t="shared" si="300"/>
        <v>3</v>
      </c>
      <c r="E260" s="1">
        <f t="shared" si="300"/>
        <v>5</v>
      </c>
      <c r="F260" s="2">
        <f t="shared" si="293"/>
        <v>5</v>
      </c>
      <c r="H260" s="2">
        <v>3</v>
      </c>
      <c r="I260" s="2">
        <v>5</v>
      </c>
      <c r="J260" s="2">
        <v>1</v>
      </c>
      <c r="K260" s="2">
        <v>4.2999999999999997E-2</v>
      </c>
      <c r="M260" s="7">
        <f t="shared" si="299"/>
        <v>1</v>
      </c>
    </row>
    <row r="261" spans="1:13" x14ac:dyDescent="0.25">
      <c r="A261" s="1" t="str">
        <f t="shared" ref="A261:E261" si="301">A202</f>
        <v>P24</v>
      </c>
      <c r="B261" s="1">
        <f t="shared" si="301"/>
        <v>24</v>
      </c>
      <c r="C261" s="1">
        <f t="shared" si="301"/>
        <v>35</v>
      </c>
      <c r="D261" s="1">
        <f t="shared" si="301"/>
        <v>2</v>
      </c>
      <c r="E261" s="1">
        <f t="shared" si="301"/>
        <v>4</v>
      </c>
      <c r="F261" s="2">
        <f t="shared" si="293"/>
        <v>5</v>
      </c>
      <c r="H261" s="2">
        <v>2</v>
      </c>
      <c r="I261" s="2">
        <v>4</v>
      </c>
      <c r="J261" s="2">
        <v>1</v>
      </c>
      <c r="K261" s="2">
        <v>4.7E-2</v>
      </c>
      <c r="M261" s="7">
        <f t="shared" si="299"/>
        <v>1</v>
      </c>
    </row>
    <row r="262" spans="1:13" x14ac:dyDescent="0.25">
      <c r="A262" s="1" t="str">
        <f t="shared" ref="A262:E262" si="302">A203</f>
        <v>P24</v>
      </c>
      <c r="B262" s="1">
        <f t="shared" si="302"/>
        <v>24</v>
      </c>
      <c r="C262" s="1">
        <f t="shared" si="302"/>
        <v>40</v>
      </c>
      <c r="D262" s="1">
        <f t="shared" si="302"/>
        <v>2</v>
      </c>
      <c r="E262" s="1">
        <f t="shared" si="302"/>
        <v>4</v>
      </c>
      <c r="F262" s="2">
        <f t="shared" si="293"/>
        <v>5</v>
      </c>
      <c r="H262" s="2">
        <v>2</v>
      </c>
      <c r="I262" s="2">
        <v>4</v>
      </c>
      <c r="J262" s="2">
        <v>1</v>
      </c>
      <c r="K262" s="2">
        <v>4.5999999999999999E-2</v>
      </c>
      <c r="M262" s="7">
        <f t="shared" si="299"/>
        <v>1</v>
      </c>
    </row>
    <row r="263" spans="1:13" x14ac:dyDescent="0.25">
      <c r="A263" s="1" t="str">
        <f t="shared" ref="A263:E263" si="303">A204</f>
        <v>P65</v>
      </c>
      <c r="B263" s="1">
        <f t="shared" si="303"/>
        <v>65</v>
      </c>
      <c r="C263" s="1">
        <f t="shared" si="303"/>
        <v>326</v>
      </c>
      <c r="D263" s="1">
        <f t="shared" si="303"/>
        <v>8</v>
      </c>
      <c r="E263" s="1">
        <f t="shared" si="303"/>
        <v>16</v>
      </c>
      <c r="F263" s="2">
        <f t="shared" si="293"/>
        <v>5</v>
      </c>
      <c r="H263" s="2">
        <v>8</v>
      </c>
      <c r="I263" s="2">
        <v>16</v>
      </c>
      <c r="J263" s="2">
        <v>1</v>
      </c>
      <c r="K263" s="2">
        <v>0.15</v>
      </c>
      <c r="M263" s="7">
        <f t="shared" si="299"/>
        <v>1</v>
      </c>
    </row>
    <row r="264" spans="1:13" x14ac:dyDescent="0.25">
      <c r="A264" s="1" t="str">
        <f t="shared" ref="A264:E264" si="304">A205</f>
        <v>P65</v>
      </c>
      <c r="B264" s="1">
        <f t="shared" si="304"/>
        <v>65</v>
      </c>
      <c r="C264" s="1">
        <f t="shared" si="304"/>
        <v>381</v>
      </c>
      <c r="D264" s="1">
        <f t="shared" si="304"/>
        <v>7</v>
      </c>
      <c r="E264" s="1">
        <f t="shared" si="304"/>
        <v>14</v>
      </c>
      <c r="F264" s="2">
        <f t="shared" si="293"/>
        <v>5</v>
      </c>
      <c r="H264" s="2">
        <v>7</v>
      </c>
      <c r="I264" s="2">
        <v>14</v>
      </c>
      <c r="J264" s="2">
        <v>1</v>
      </c>
      <c r="K264" s="2">
        <v>0.14299999999999999</v>
      </c>
      <c r="M264" s="7">
        <f t="shared" si="299"/>
        <v>1</v>
      </c>
    </row>
    <row r="265" spans="1:13" x14ac:dyDescent="0.25">
      <c r="A265" s="1" t="str">
        <f t="shared" ref="A265:E265" si="305">A206</f>
        <v>P65</v>
      </c>
      <c r="B265" s="1">
        <f t="shared" si="305"/>
        <v>65</v>
      </c>
      <c r="C265" s="1">
        <f t="shared" si="305"/>
        <v>435</v>
      </c>
      <c r="D265" s="1">
        <f t="shared" si="305"/>
        <v>6</v>
      </c>
      <c r="E265" s="1">
        <f t="shared" si="305"/>
        <v>12</v>
      </c>
      <c r="F265" s="2">
        <f t="shared" si="293"/>
        <v>5</v>
      </c>
      <c r="H265" s="2">
        <v>6</v>
      </c>
      <c r="I265" s="2">
        <v>12</v>
      </c>
      <c r="J265" s="2">
        <v>1</v>
      </c>
      <c r="K265" s="2">
        <v>4.6429999999999998</v>
      </c>
      <c r="M265" s="7">
        <f t="shared" si="299"/>
        <v>1</v>
      </c>
    </row>
    <row r="266" spans="1:13" x14ac:dyDescent="0.25">
      <c r="A266" s="1" t="str">
        <f t="shared" ref="A266:E266" si="306">A207</f>
        <v>P65</v>
      </c>
      <c r="B266" s="1">
        <f t="shared" si="306"/>
        <v>65</v>
      </c>
      <c r="C266" s="1">
        <f t="shared" si="306"/>
        <v>490</v>
      </c>
      <c r="D266" s="1">
        <f t="shared" si="306"/>
        <v>6</v>
      </c>
      <c r="E266" s="1">
        <f t="shared" si="306"/>
        <v>11</v>
      </c>
      <c r="F266" s="2">
        <f t="shared" si="293"/>
        <v>5</v>
      </c>
      <c r="H266" s="2">
        <v>6</v>
      </c>
      <c r="I266" s="2">
        <v>11</v>
      </c>
      <c r="J266" s="2">
        <v>1</v>
      </c>
      <c r="K266" s="2">
        <v>8.1460000000000008</v>
      </c>
      <c r="M266" s="7">
        <f t="shared" si="299"/>
        <v>1</v>
      </c>
    </row>
    <row r="267" spans="1:13" x14ac:dyDescent="0.25">
      <c r="A267" s="1" t="str">
        <f t="shared" ref="A267:E267" si="307">A208</f>
        <v>P65</v>
      </c>
      <c r="B267" s="1">
        <f t="shared" si="307"/>
        <v>65</v>
      </c>
      <c r="C267" s="1">
        <f t="shared" si="307"/>
        <v>512</v>
      </c>
      <c r="D267" s="1">
        <f t="shared" si="307"/>
        <v>5</v>
      </c>
      <c r="E267" s="1">
        <f t="shared" si="307"/>
        <v>10</v>
      </c>
      <c r="F267" s="2">
        <f t="shared" si="293"/>
        <v>5</v>
      </c>
      <c r="H267" s="2">
        <v>6</v>
      </c>
      <c r="I267" s="2">
        <v>10</v>
      </c>
      <c r="J267" s="2">
        <v>0</v>
      </c>
      <c r="K267" s="2">
        <v>300.10199999999998</v>
      </c>
      <c r="M267" s="7">
        <f t="shared" si="299"/>
        <v>0</v>
      </c>
    </row>
    <row r="268" spans="1:13" x14ac:dyDescent="0.25">
      <c r="A268" s="1" t="str">
        <f t="shared" ref="A268:E268" si="308">A209</f>
        <v>P65</v>
      </c>
      <c r="B268" s="1">
        <f t="shared" si="308"/>
        <v>65</v>
      </c>
      <c r="C268" s="1">
        <f t="shared" si="308"/>
        <v>544</v>
      </c>
      <c r="D268" s="1">
        <f t="shared" si="308"/>
        <v>5</v>
      </c>
      <c r="E268" s="1">
        <f t="shared" si="308"/>
        <v>10</v>
      </c>
      <c r="F268" s="2">
        <f t="shared" si="293"/>
        <v>5</v>
      </c>
      <c r="H268" s="2">
        <v>5</v>
      </c>
      <c r="I268" s="2">
        <v>10</v>
      </c>
      <c r="J268" s="2">
        <v>1</v>
      </c>
      <c r="K268" s="2">
        <v>10.888</v>
      </c>
      <c r="M268" s="7">
        <f t="shared" si="299"/>
        <v>1</v>
      </c>
    </row>
    <row r="269" spans="1:13" x14ac:dyDescent="0.25">
      <c r="A269" s="1" t="str">
        <f t="shared" ref="A269:E269" si="309">A210</f>
        <v>P148</v>
      </c>
      <c r="B269" s="1">
        <f t="shared" si="309"/>
        <v>148</v>
      </c>
      <c r="C269" s="1">
        <f t="shared" si="309"/>
        <v>204</v>
      </c>
      <c r="D269" s="1">
        <f t="shared" si="309"/>
        <v>13</v>
      </c>
      <c r="E269" s="1">
        <f t="shared" si="309"/>
        <v>26</v>
      </c>
      <c r="F269" s="2">
        <f t="shared" si="293"/>
        <v>5</v>
      </c>
      <c r="H269" s="2">
        <v>14</v>
      </c>
      <c r="I269" s="2">
        <v>26</v>
      </c>
      <c r="J269" s="2">
        <v>0</v>
      </c>
      <c r="K269" s="2">
        <v>300.91500000000002</v>
      </c>
      <c r="M269" s="7">
        <f t="shared" si="299"/>
        <v>0</v>
      </c>
    </row>
    <row r="270" spans="1:13" x14ac:dyDescent="0.25">
      <c r="A270" s="1" t="str">
        <f t="shared" ref="A270:E270" si="310">A211</f>
        <v>P148</v>
      </c>
      <c r="B270" s="1">
        <f t="shared" si="310"/>
        <v>148</v>
      </c>
      <c r="C270" s="1">
        <f t="shared" si="310"/>
        <v>228</v>
      </c>
      <c r="D270" s="1">
        <f t="shared" si="310"/>
        <v>12</v>
      </c>
      <c r="E270" s="1">
        <f t="shared" si="310"/>
        <v>23</v>
      </c>
      <c r="F270" s="2">
        <f t="shared" si="293"/>
        <v>5</v>
      </c>
      <c r="H270" s="2">
        <v>12</v>
      </c>
      <c r="I270" s="2">
        <v>23</v>
      </c>
      <c r="J270" s="2">
        <v>1</v>
      </c>
      <c r="K270" s="2">
        <v>149.41200000000001</v>
      </c>
      <c r="M270" s="7">
        <f t="shared" si="299"/>
        <v>1</v>
      </c>
    </row>
    <row r="271" spans="1:13" x14ac:dyDescent="0.25">
      <c r="A271" s="1" t="str">
        <f t="shared" ref="A271:E271" si="311">A212</f>
        <v>P148</v>
      </c>
      <c r="B271" s="1">
        <f t="shared" si="311"/>
        <v>148</v>
      </c>
      <c r="C271" s="1">
        <f t="shared" si="311"/>
        <v>255</v>
      </c>
      <c r="D271" s="1">
        <f t="shared" si="311"/>
        <v>11</v>
      </c>
      <c r="E271" s="1">
        <f t="shared" si="311"/>
        <v>21</v>
      </c>
      <c r="F271" s="2">
        <f t="shared" si="293"/>
        <v>5</v>
      </c>
      <c r="H271" s="2">
        <v>11</v>
      </c>
      <c r="I271" s="2">
        <v>21</v>
      </c>
      <c r="J271" s="2">
        <v>1</v>
      </c>
      <c r="K271" s="2">
        <v>52.347999999999999</v>
      </c>
      <c r="M271" s="7">
        <f t="shared" si="299"/>
        <v>1</v>
      </c>
    </row>
    <row r="272" spans="1:13" x14ac:dyDescent="0.25">
      <c r="A272" s="1" t="str">
        <f t="shared" ref="A272:E272" si="312">A213</f>
        <v>P148</v>
      </c>
      <c r="B272" s="1">
        <f t="shared" si="312"/>
        <v>148</v>
      </c>
      <c r="C272" s="1">
        <f t="shared" si="312"/>
        <v>306</v>
      </c>
      <c r="D272" s="1">
        <f t="shared" si="312"/>
        <v>9</v>
      </c>
      <c r="E272" s="1">
        <f t="shared" si="312"/>
        <v>17</v>
      </c>
      <c r="F272" s="2">
        <f t="shared" si="293"/>
        <v>5</v>
      </c>
      <c r="H272" s="2">
        <v>9</v>
      </c>
      <c r="I272" s="2">
        <v>18</v>
      </c>
      <c r="J272" s="2">
        <v>0</v>
      </c>
      <c r="K272" s="2">
        <v>300.72699999999998</v>
      </c>
      <c r="M272" s="7">
        <f t="shared" si="299"/>
        <v>0</v>
      </c>
    </row>
    <row r="273" spans="1:13" x14ac:dyDescent="0.25">
      <c r="A273" s="1" t="str">
        <f t="shared" ref="A273:E273" si="313">A214</f>
        <v>P148</v>
      </c>
      <c r="B273" s="1">
        <f t="shared" si="313"/>
        <v>148</v>
      </c>
      <c r="C273" s="1">
        <f t="shared" si="313"/>
        <v>357</v>
      </c>
      <c r="D273" s="1">
        <f t="shared" si="313"/>
        <v>8</v>
      </c>
      <c r="E273" s="1">
        <f t="shared" si="313"/>
        <v>15</v>
      </c>
      <c r="F273" s="2">
        <f t="shared" si="293"/>
        <v>5</v>
      </c>
      <c r="H273" s="2">
        <v>8</v>
      </c>
      <c r="I273" s="2">
        <v>15</v>
      </c>
      <c r="J273" s="2">
        <v>1</v>
      </c>
      <c r="K273" s="2">
        <v>5.3449999999999998</v>
      </c>
      <c r="M273" s="7">
        <f t="shared" si="299"/>
        <v>1</v>
      </c>
    </row>
    <row r="274" spans="1:13" x14ac:dyDescent="0.25">
      <c r="A274" s="1" t="str">
        <f t="shared" ref="A274:E274" si="314">A215</f>
        <v>P148</v>
      </c>
      <c r="B274" s="1">
        <f t="shared" si="314"/>
        <v>148</v>
      </c>
      <c r="C274" s="1">
        <f t="shared" si="314"/>
        <v>378</v>
      </c>
      <c r="D274" s="1">
        <f t="shared" si="314"/>
        <v>7</v>
      </c>
      <c r="E274" s="1">
        <f t="shared" si="314"/>
        <v>14</v>
      </c>
      <c r="F274" s="2">
        <f t="shared" si="293"/>
        <v>5</v>
      </c>
      <c r="H274" s="2">
        <v>8</v>
      </c>
      <c r="I274" s="2">
        <v>14</v>
      </c>
      <c r="J274" s="2">
        <v>0</v>
      </c>
      <c r="K274" s="2">
        <v>301.39400000000001</v>
      </c>
      <c r="M274" s="7">
        <f t="shared" si="299"/>
        <v>0</v>
      </c>
    </row>
    <row r="275" spans="1:13" x14ac:dyDescent="0.25">
      <c r="A275" s="1" t="str">
        <f t="shared" ref="A275:E275" si="315">A216</f>
        <v>P148</v>
      </c>
      <c r="B275" s="1">
        <f t="shared" si="315"/>
        <v>148</v>
      </c>
      <c r="C275" s="1">
        <f t="shared" si="315"/>
        <v>408</v>
      </c>
      <c r="D275" s="1">
        <f t="shared" si="315"/>
        <v>7</v>
      </c>
      <c r="E275" s="1">
        <f t="shared" si="315"/>
        <v>13</v>
      </c>
      <c r="F275" s="2">
        <f t="shared" si="293"/>
        <v>5</v>
      </c>
      <c r="H275" s="2">
        <v>8</v>
      </c>
      <c r="I275" s="2">
        <v>13</v>
      </c>
      <c r="J275" s="2">
        <v>0</v>
      </c>
      <c r="K275" s="2">
        <v>301.03800000000001</v>
      </c>
      <c r="M275" s="7">
        <f t="shared" si="299"/>
        <v>0</v>
      </c>
    </row>
    <row r="276" spans="1:13" x14ac:dyDescent="0.25">
      <c r="A276" s="1" t="str">
        <f t="shared" ref="A276:E276" si="316">A217</f>
        <v>P148</v>
      </c>
      <c r="B276" s="1">
        <f t="shared" si="316"/>
        <v>148</v>
      </c>
      <c r="C276" s="1">
        <f t="shared" si="316"/>
        <v>454</v>
      </c>
      <c r="D276" s="1">
        <f t="shared" si="316"/>
        <v>6</v>
      </c>
      <c r="E276" s="1">
        <f t="shared" si="316"/>
        <v>12</v>
      </c>
      <c r="F276" s="2">
        <f t="shared" si="293"/>
        <v>5</v>
      </c>
      <c r="H276" s="2">
        <v>7</v>
      </c>
      <c r="I276" s="2">
        <v>12</v>
      </c>
      <c r="J276" s="2">
        <v>0</v>
      </c>
      <c r="K276" s="2">
        <v>300.11399999999998</v>
      </c>
      <c r="M276" s="7">
        <f t="shared" si="299"/>
        <v>0</v>
      </c>
    </row>
    <row r="277" spans="1:13" x14ac:dyDescent="0.25">
      <c r="A277" s="1" t="str">
        <f t="shared" ref="A277:E277" si="317">A218</f>
        <v>P148</v>
      </c>
      <c r="B277" s="1">
        <f t="shared" si="317"/>
        <v>148</v>
      </c>
      <c r="C277" s="1">
        <f t="shared" si="317"/>
        <v>459</v>
      </c>
      <c r="D277" s="1">
        <f t="shared" si="317"/>
        <v>6</v>
      </c>
      <c r="E277" s="1">
        <f t="shared" si="317"/>
        <v>12</v>
      </c>
      <c r="F277" s="2">
        <f t="shared" si="293"/>
        <v>5</v>
      </c>
      <c r="H277" s="2">
        <v>7</v>
      </c>
      <c r="I277" s="2">
        <v>12</v>
      </c>
      <c r="J277" s="2">
        <v>0</v>
      </c>
      <c r="K277" s="2">
        <v>301.41000000000003</v>
      </c>
      <c r="M277" s="7">
        <f t="shared" si="299"/>
        <v>0</v>
      </c>
    </row>
    <row r="278" spans="1:13" x14ac:dyDescent="0.25">
      <c r="A278" s="1" t="str">
        <f t="shared" ref="A278:E278" si="318">A219</f>
        <v>P148</v>
      </c>
      <c r="B278" s="1">
        <f t="shared" si="318"/>
        <v>148</v>
      </c>
      <c r="C278" s="1">
        <f t="shared" si="318"/>
        <v>510</v>
      </c>
      <c r="D278" s="1">
        <f t="shared" si="318"/>
        <v>6</v>
      </c>
      <c r="E278" s="1">
        <f t="shared" si="318"/>
        <v>11</v>
      </c>
      <c r="F278" s="2">
        <f t="shared" si="293"/>
        <v>5</v>
      </c>
      <c r="H278" s="2">
        <v>7</v>
      </c>
      <c r="I278" s="2">
        <v>11</v>
      </c>
      <c r="J278" s="2">
        <v>0</v>
      </c>
      <c r="K278" s="2">
        <v>300.77</v>
      </c>
      <c r="M278" s="7">
        <f t="shared" si="299"/>
        <v>0</v>
      </c>
    </row>
    <row r="279" spans="1:13" x14ac:dyDescent="0.25">
      <c r="A279" s="1" t="str">
        <f t="shared" ref="A279:E279" si="319">A220</f>
        <v>P205</v>
      </c>
      <c r="B279" s="1">
        <f t="shared" si="319"/>
        <v>205</v>
      </c>
      <c r="C279" s="1">
        <f t="shared" si="319"/>
        <v>1133</v>
      </c>
      <c r="D279" s="1">
        <f t="shared" si="319"/>
        <v>11</v>
      </c>
      <c r="E279" s="1">
        <f t="shared" si="319"/>
        <v>21</v>
      </c>
      <c r="F279" s="2">
        <f t="shared" si="293"/>
        <v>5</v>
      </c>
      <c r="H279" s="2">
        <v>11</v>
      </c>
      <c r="I279" s="2">
        <v>22</v>
      </c>
      <c r="J279" s="2">
        <v>0</v>
      </c>
      <c r="K279" s="2">
        <v>301.02600000000001</v>
      </c>
      <c r="M279" s="7">
        <f t="shared" si="299"/>
        <v>0</v>
      </c>
    </row>
    <row r="280" spans="1:13" x14ac:dyDescent="0.25">
      <c r="A280" s="1" t="str">
        <f t="shared" ref="A280:E280" si="320">A221</f>
        <v>P205</v>
      </c>
      <c r="B280" s="1">
        <f t="shared" si="320"/>
        <v>205</v>
      </c>
      <c r="C280" s="1">
        <f t="shared" si="320"/>
        <v>1275</v>
      </c>
      <c r="D280" s="1">
        <f t="shared" si="320"/>
        <v>10</v>
      </c>
      <c r="E280" s="1">
        <f t="shared" si="320"/>
        <v>19</v>
      </c>
      <c r="F280" s="2">
        <f t="shared" si="293"/>
        <v>5</v>
      </c>
      <c r="H280" s="2">
        <v>11</v>
      </c>
      <c r="I280" s="2">
        <v>22</v>
      </c>
      <c r="J280" s="2">
        <v>0</v>
      </c>
      <c r="K280" s="2">
        <v>301.02600000000001</v>
      </c>
      <c r="M280" s="7">
        <f t="shared" si="299"/>
        <v>0</v>
      </c>
    </row>
    <row r="281" spans="1:13" x14ac:dyDescent="0.25">
      <c r="A281" s="1" t="str">
        <f t="shared" ref="A281:E281" si="321">A222</f>
        <v>P205</v>
      </c>
      <c r="B281" s="1">
        <f t="shared" si="321"/>
        <v>205</v>
      </c>
      <c r="C281" s="1">
        <f t="shared" si="321"/>
        <v>1322</v>
      </c>
      <c r="D281" s="1">
        <f t="shared" si="321"/>
        <v>9</v>
      </c>
      <c r="E281" s="1">
        <f t="shared" si="321"/>
        <v>18</v>
      </c>
      <c r="F281" s="2">
        <f t="shared" si="293"/>
        <v>5</v>
      </c>
      <c r="H281" s="2">
        <v>10</v>
      </c>
      <c r="I281" s="2">
        <v>19</v>
      </c>
      <c r="J281" s="2">
        <v>0</v>
      </c>
      <c r="K281" s="2">
        <v>300.92099999999999</v>
      </c>
      <c r="M281" s="7">
        <f t="shared" si="299"/>
        <v>0</v>
      </c>
    </row>
    <row r="282" spans="1:13" x14ac:dyDescent="0.25">
      <c r="A282" s="1" t="str">
        <f t="shared" ref="A282:E282" si="322">A223</f>
        <v>P205</v>
      </c>
      <c r="B282" s="1">
        <f t="shared" si="322"/>
        <v>205</v>
      </c>
      <c r="C282" s="1">
        <f t="shared" si="322"/>
        <v>1455</v>
      </c>
      <c r="D282" s="1">
        <f t="shared" si="322"/>
        <v>9</v>
      </c>
      <c r="E282" s="1">
        <f t="shared" si="322"/>
        <v>17</v>
      </c>
      <c r="F282" s="2">
        <f t="shared" si="293"/>
        <v>5</v>
      </c>
      <c r="H282" s="2">
        <v>10</v>
      </c>
      <c r="I282" s="2">
        <v>18</v>
      </c>
      <c r="J282" s="2">
        <v>0</v>
      </c>
      <c r="K282" s="2">
        <v>301.12799999999999</v>
      </c>
      <c r="M282" s="7">
        <f t="shared" si="299"/>
        <v>0</v>
      </c>
    </row>
    <row r="283" spans="1:13" x14ac:dyDescent="0.25">
      <c r="A283" s="1" t="str">
        <f t="shared" ref="A283:E283" si="323">A224</f>
        <v>P205</v>
      </c>
      <c r="B283" s="1">
        <f t="shared" si="323"/>
        <v>205</v>
      </c>
      <c r="C283" s="1">
        <f t="shared" si="323"/>
        <v>1510</v>
      </c>
      <c r="D283" s="1">
        <f t="shared" si="323"/>
        <v>8</v>
      </c>
      <c r="E283" s="1">
        <f t="shared" si="323"/>
        <v>16</v>
      </c>
      <c r="F283" s="2">
        <f t="shared" si="293"/>
        <v>5</v>
      </c>
      <c r="H283" s="2">
        <v>9</v>
      </c>
      <c r="I283" s="2">
        <v>18</v>
      </c>
      <c r="J283" s="2">
        <v>0</v>
      </c>
      <c r="K283" s="2">
        <v>301.10000000000002</v>
      </c>
      <c r="M283" s="7">
        <f t="shared" si="299"/>
        <v>0</v>
      </c>
    </row>
    <row r="284" spans="1:13" x14ac:dyDescent="0.25">
      <c r="A284" s="1" t="str">
        <f t="shared" ref="A284:E284" si="324">A225</f>
        <v>P205</v>
      </c>
      <c r="B284" s="1">
        <f t="shared" si="324"/>
        <v>205</v>
      </c>
      <c r="C284" s="1">
        <f t="shared" si="324"/>
        <v>1650</v>
      </c>
      <c r="D284" s="1">
        <f t="shared" si="324"/>
        <v>8</v>
      </c>
      <c r="E284" s="1">
        <f t="shared" si="324"/>
        <v>15</v>
      </c>
      <c r="F284" s="2">
        <f t="shared" si="293"/>
        <v>5</v>
      </c>
      <c r="H284" s="2">
        <v>9</v>
      </c>
      <c r="I284" s="2">
        <v>18</v>
      </c>
      <c r="J284" s="2">
        <v>0</v>
      </c>
      <c r="K284" s="2">
        <v>300.88400000000001</v>
      </c>
      <c r="M284" s="7">
        <f t="shared" si="299"/>
        <v>0</v>
      </c>
    </row>
    <row r="285" spans="1:13" x14ac:dyDescent="0.25">
      <c r="A285" s="1" t="str">
        <f t="shared" ref="A285:E285" si="325">A226</f>
        <v>P205</v>
      </c>
      <c r="B285" s="1">
        <f t="shared" si="325"/>
        <v>205</v>
      </c>
      <c r="C285" s="1">
        <f t="shared" si="325"/>
        <v>1699</v>
      </c>
      <c r="D285" s="1">
        <f t="shared" si="325"/>
        <v>7</v>
      </c>
      <c r="E285" s="1">
        <f t="shared" si="325"/>
        <v>14</v>
      </c>
      <c r="F285" s="2">
        <f t="shared" si="293"/>
        <v>5</v>
      </c>
      <c r="H285" s="2">
        <v>8</v>
      </c>
      <c r="I285" s="2">
        <v>16</v>
      </c>
      <c r="J285" s="2">
        <v>0</v>
      </c>
      <c r="K285" s="2">
        <v>300.911</v>
      </c>
      <c r="M285" s="7">
        <f t="shared" si="299"/>
        <v>0</v>
      </c>
    </row>
    <row r="286" spans="1:13" x14ac:dyDescent="0.25">
      <c r="A286" s="1" t="str">
        <f t="shared" ref="A286:E286" si="326">A227</f>
        <v>P205</v>
      </c>
      <c r="B286" s="1">
        <f t="shared" si="326"/>
        <v>205</v>
      </c>
      <c r="C286" s="1">
        <f t="shared" si="326"/>
        <v>1888</v>
      </c>
      <c r="D286" s="1">
        <f t="shared" si="326"/>
        <v>7</v>
      </c>
      <c r="E286" s="1">
        <f t="shared" si="326"/>
        <v>13</v>
      </c>
      <c r="F286" s="2">
        <f t="shared" si="293"/>
        <v>5</v>
      </c>
      <c r="H286" s="2">
        <v>8</v>
      </c>
      <c r="I286" s="2">
        <v>16</v>
      </c>
      <c r="J286" s="2">
        <v>0</v>
      </c>
      <c r="K286" s="2">
        <v>300.995</v>
      </c>
      <c r="M286" s="7">
        <f t="shared" si="299"/>
        <v>0</v>
      </c>
    </row>
    <row r="287" spans="1:13" x14ac:dyDescent="0.25">
      <c r="A287" s="1" t="str">
        <f t="shared" ref="A287:E287" si="327">A228</f>
        <v>P205</v>
      </c>
      <c r="B287" s="1">
        <f t="shared" si="327"/>
        <v>205</v>
      </c>
      <c r="C287" s="1">
        <f t="shared" si="327"/>
        <v>1920</v>
      </c>
      <c r="D287" s="1">
        <f t="shared" si="327"/>
        <v>7</v>
      </c>
      <c r="E287" s="1">
        <f t="shared" si="327"/>
        <v>13</v>
      </c>
      <c r="F287" s="2">
        <f t="shared" si="293"/>
        <v>5</v>
      </c>
      <c r="H287" s="2">
        <v>8</v>
      </c>
      <c r="I287" s="2">
        <v>16</v>
      </c>
      <c r="J287" s="2">
        <v>0</v>
      </c>
      <c r="K287" s="2">
        <v>300.57499999999999</v>
      </c>
      <c r="M287" s="7">
        <f t="shared" si="299"/>
        <v>0</v>
      </c>
    </row>
    <row r="288" spans="1:13" x14ac:dyDescent="0.25">
      <c r="A288" s="1" t="str">
        <f t="shared" ref="A288:E288" si="328">A229</f>
        <v>P205</v>
      </c>
      <c r="B288" s="1">
        <f t="shared" si="328"/>
        <v>205</v>
      </c>
      <c r="C288" s="1">
        <f t="shared" si="328"/>
        <v>2077</v>
      </c>
      <c r="D288" s="1">
        <f t="shared" si="328"/>
        <v>6</v>
      </c>
      <c r="E288" s="1">
        <f t="shared" si="328"/>
        <v>12</v>
      </c>
      <c r="F288" s="2">
        <f t="shared" si="293"/>
        <v>5</v>
      </c>
      <c r="H288" s="2">
        <v>7</v>
      </c>
      <c r="I288" s="2">
        <v>14</v>
      </c>
      <c r="J288" s="2">
        <v>0</v>
      </c>
      <c r="K288" s="2">
        <v>300.66399999999999</v>
      </c>
      <c r="M288" s="7">
        <f t="shared" si="299"/>
        <v>0</v>
      </c>
    </row>
    <row r="289" spans="1:13" x14ac:dyDescent="0.25">
      <c r="A289" s="1" t="str">
        <f t="shared" ref="A289:E289" si="329">A230</f>
        <v>P205</v>
      </c>
      <c r="B289" s="1">
        <f t="shared" si="329"/>
        <v>205</v>
      </c>
      <c r="C289" s="1">
        <f t="shared" si="329"/>
        <v>2100</v>
      </c>
      <c r="D289" s="1">
        <f t="shared" si="329"/>
        <v>6</v>
      </c>
      <c r="E289" s="1">
        <f t="shared" si="329"/>
        <v>12</v>
      </c>
      <c r="F289" s="2">
        <f t="shared" si="293"/>
        <v>5</v>
      </c>
      <c r="H289" s="2">
        <v>8</v>
      </c>
      <c r="I289" s="2">
        <v>15</v>
      </c>
      <c r="J289" s="2">
        <v>0</v>
      </c>
      <c r="K289" s="2">
        <v>300.94</v>
      </c>
      <c r="M289" s="7">
        <f t="shared" si="299"/>
        <v>0</v>
      </c>
    </row>
    <row r="290" spans="1:13" x14ac:dyDescent="0.25">
      <c r="A290" s="1" t="str">
        <f t="shared" ref="A290:E290" si="330">A231</f>
        <v>P205</v>
      </c>
      <c r="B290" s="1">
        <f t="shared" si="330"/>
        <v>205</v>
      </c>
      <c r="C290" s="1">
        <f t="shared" si="330"/>
        <v>2266</v>
      </c>
      <c r="D290" s="1">
        <f t="shared" si="330"/>
        <v>6</v>
      </c>
      <c r="E290" s="1">
        <f t="shared" si="330"/>
        <v>11</v>
      </c>
      <c r="F290" s="2">
        <f t="shared" si="293"/>
        <v>5</v>
      </c>
      <c r="H290" s="2">
        <v>7</v>
      </c>
      <c r="I290" s="2">
        <v>14</v>
      </c>
      <c r="J290" s="2">
        <v>0</v>
      </c>
      <c r="K290" s="2">
        <v>300.77199999999999</v>
      </c>
      <c r="M290" s="7">
        <f t="shared" si="299"/>
        <v>0</v>
      </c>
    </row>
    <row r="291" spans="1:13" x14ac:dyDescent="0.25">
      <c r="A291" s="1" t="str">
        <f t="shared" ref="A291:E291" si="331">A232</f>
        <v>P205</v>
      </c>
      <c r="B291" s="1">
        <f t="shared" si="331"/>
        <v>205</v>
      </c>
      <c r="C291" s="1">
        <f t="shared" si="331"/>
        <v>2300</v>
      </c>
      <c r="D291" s="1">
        <f t="shared" si="331"/>
        <v>6</v>
      </c>
      <c r="E291" s="1">
        <f t="shared" si="331"/>
        <v>11</v>
      </c>
      <c r="F291" s="2">
        <f t="shared" si="293"/>
        <v>5</v>
      </c>
      <c r="H291" s="2">
        <v>7</v>
      </c>
      <c r="I291" s="2">
        <v>14</v>
      </c>
      <c r="J291" s="2">
        <v>0</v>
      </c>
      <c r="K291" s="2">
        <v>301.149</v>
      </c>
      <c r="M291" s="7">
        <f t="shared" si="299"/>
        <v>0</v>
      </c>
    </row>
    <row r="292" spans="1:13" x14ac:dyDescent="0.25">
      <c r="A292" s="1" t="str">
        <f t="shared" ref="A292:E292" si="332">A233</f>
        <v>P205</v>
      </c>
      <c r="B292" s="1">
        <f t="shared" si="332"/>
        <v>205</v>
      </c>
      <c r="C292" s="1">
        <f t="shared" si="332"/>
        <v>2454</v>
      </c>
      <c r="D292" s="1">
        <f t="shared" si="332"/>
        <v>5</v>
      </c>
      <c r="E292" s="1">
        <f t="shared" si="332"/>
        <v>10</v>
      </c>
      <c r="F292" s="2">
        <f t="shared" si="293"/>
        <v>5</v>
      </c>
      <c r="H292" s="2">
        <v>6</v>
      </c>
      <c r="I292" s="2">
        <v>12</v>
      </c>
      <c r="J292" s="2">
        <v>0</v>
      </c>
      <c r="K292" s="2">
        <v>300.85399999999998</v>
      </c>
      <c r="M292" s="7">
        <f t="shared" si="299"/>
        <v>0</v>
      </c>
    </row>
    <row r="293" spans="1:13" x14ac:dyDescent="0.25">
      <c r="A293" s="1" t="str">
        <f t="shared" ref="A293:E293" si="333">A234</f>
        <v>P205</v>
      </c>
      <c r="B293" s="1">
        <f t="shared" si="333"/>
        <v>205</v>
      </c>
      <c r="C293" s="1">
        <f t="shared" si="333"/>
        <v>2500</v>
      </c>
      <c r="D293" s="1">
        <f t="shared" si="333"/>
        <v>5</v>
      </c>
      <c r="E293" s="1">
        <f t="shared" si="333"/>
        <v>10</v>
      </c>
      <c r="F293" s="2">
        <f t="shared" si="293"/>
        <v>5</v>
      </c>
      <c r="H293" s="2">
        <v>6</v>
      </c>
      <c r="I293" s="2">
        <v>12</v>
      </c>
      <c r="J293" s="2">
        <v>0</v>
      </c>
      <c r="K293" s="2">
        <v>300.67399999999998</v>
      </c>
      <c r="M293" s="7">
        <f t="shared" si="299"/>
        <v>0</v>
      </c>
    </row>
    <row r="294" spans="1:13" x14ac:dyDescent="0.25">
      <c r="A294" s="1" t="str">
        <f t="shared" ref="A294:E294" si="334">A235</f>
        <v>P205</v>
      </c>
      <c r="B294" s="1">
        <f t="shared" si="334"/>
        <v>205</v>
      </c>
      <c r="C294" s="1">
        <f t="shared" si="334"/>
        <v>2643</v>
      </c>
      <c r="D294" s="1">
        <f t="shared" si="334"/>
        <v>5</v>
      </c>
      <c r="E294" s="1">
        <f t="shared" si="334"/>
        <v>9</v>
      </c>
      <c r="F294" s="2">
        <f t="shared" si="293"/>
        <v>5</v>
      </c>
      <c r="H294" s="2">
        <v>6</v>
      </c>
      <c r="I294" s="2">
        <v>12</v>
      </c>
      <c r="J294" s="2">
        <v>0</v>
      </c>
      <c r="K294" s="2">
        <v>301.04700000000003</v>
      </c>
      <c r="M294" s="7">
        <f t="shared" si="299"/>
        <v>0</v>
      </c>
    </row>
    <row r="295" spans="1:13" x14ac:dyDescent="0.25">
      <c r="A295" s="1" t="str">
        <f t="shared" ref="A295:E295" si="335">A236</f>
        <v>P205</v>
      </c>
      <c r="B295" s="1">
        <f t="shared" si="335"/>
        <v>205</v>
      </c>
      <c r="C295" s="1">
        <f t="shared" si="335"/>
        <v>2800</v>
      </c>
      <c r="D295" s="1">
        <f t="shared" si="335"/>
        <v>5</v>
      </c>
      <c r="E295" s="1">
        <f t="shared" si="335"/>
        <v>9</v>
      </c>
      <c r="F295" s="2">
        <f t="shared" si="293"/>
        <v>5</v>
      </c>
      <c r="H295" s="2">
        <v>6</v>
      </c>
      <c r="I295" s="2">
        <v>12</v>
      </c>
      <c r="J295" s="2">
        <v>0</v>
      </c>
      <c r="K295" s="2">
        <v>301.06099999999998</v>
      </c>
      <c r="M295" s="7">
        <f t="shared" si="299"/>
        <v>0</v>
      </c>
    </row>
    <row r="296" spans="1:13" x14ac:dyDescent="0.25">
      <c r="A296" s="1" t="str">
        <f t="shared" ref="A296:E296" si="336">A237</f>
        <v>P205</v>
      </c>
      <c r="B296" s="1">
        <f t="shared" si="336"/>
        <v>205</v>
      </c>
      <c r="C296" s="1">
        <f t="shared" si="336"/>
        <v>2832</v>
      </c>
      <c r="D296" s="1">
        <f t="shared" si="336"/>
        <v>5</v>
      </c>
      <c r="E296" s="1">
        <f t="shared" si="336"/>
        <v>9</v>
      </c>
      <c r="F296" s="2">
        <f t="shared" si="293"/>
        <v>5</v>
      </c>
      <c r="H296" s="2">
        <v>6</v>
      </c>
      <c r="I296" s="2">
        <v>12</v>
      </c>
      <c r="J296" s="2">
        <v>0</v>
      </c>
      <c r="K296" s="2">
        <v>300.65600000000001</v>
      </c>
      <c r="M296" s="7">
        <f t="shared" si="299"/>
        <v>0</v>
      </c>
    </row>
    <row r="297" spans="1:13" x14ac:dyDescent="0.25">
      <c r="A297" s="1" t="str">
        <f t="shared" ref="A297:E297" si="337">A238</f>
        <v>P9</v>
      </c>
      <c r="B297" s="1">
        <f t="shared" si="337"/>
        <v>9</v>
      </c>
      <c r="C297" s="1">
        <f t="shared" si="337"/>
        <v>3</v>
      </c>
      <c r="D297" s="1">
        <f t="shared" si="337"/>
        <v>3</v>
      </c>
      <c r="E297" s="1">
        <f t="shared" si="337"/>
        <v>6</v>
      </c>
      <c r="F297" s="2">
        <f t="shared" si="293"/>
        <v>6</v>
      </c>
      <c r="H297" s="2">
        <v>3</v>
      </c>
      <c r="I297" s="2">
        <v>6</v>
      </c>
      <c r="J297" s="2">
        <v>1</v>
      </c>
      <c r="K297" s="2">
        <v>2E-3</v>
      </c>
      <c r="M297" s="7">
        <f t="shared" si="299"/>
        <v>1</v>
      </c>
    </row>
    <row r="298" spans="1:13" x14ac:dyDescent="0.25">
      <c r="A298" s="1" t="str">
        <f t="shared" ref="A298:E298" si="338">A239</f>
        <v>P9</v>
      </c>
      <c r="B298" s="1">
        <f t="shared" si="338"/>
        <v>9</v>
      </c>
      <c r="C298" s="1">
        <f t="shared" si="338"/>
        <v>4</v>
      </c>
      <c r="D298" s="1">
        <f t="shared" si="338"/>
        <v>3</v>
      </c>
      <c r="E298" s="1">
        <f t="shared" si="338"/>
        <v>5</v>
      </c>
      <c r="F298" s="2">
        <f t="shared" si="293"/>
        <v>6</v>
      </c>
      <c r="H298" s="2">
        <v>3</v>
      </c>
      <c r="I298" s="2">
        <v>5</v>
      </c>
      <c r="J298" s="2">
        <v>1</v>
      </c>
      <c r="K298" s="2">
        <v>2E-3</v>
      </c>
      <c r="M298" s="7">
        <f t="shared" si="299"/>
        <v>1</v>
      </c>
    </row>
    <row r="299" spans="1:13" x14ac:dyDescent="0.25">
      <c r="A299" s="1" t="str">
        <f t="shared" ref="A299:E299" si="339">A240</f>
        <v>P9</v>
      </c>
      <c r="B299" s="1">
        <f t="shared" si="339"/>
        <v>9</v>
      </c>
      <c r="C299" s="1">
        <f t="shared" si="339"/>
        <v>5</v>
      </c>
      <c r="D299" s="1">
        <f t="shared" si="339"/>
        <v>2</v>
      </c>
      <c r="E299" s="1">
        <f t="shared" si="339"/>
        <v>4</v>
      </c>
      <c r="F299" s="2">
        <f t="shared" si="293"/>
        <v>6</v>
      </c>
      <c r="H299" s="2">
        <v>2</v>
      </c>
      <c r="I299" s="2">
        <v>4</v>
      </c>
      <c r="J299" s="2">
        <v>1</v>
      </c>
      <c r="K299" s="2">
        <v>1E-3</v>
      </c>
      <c r="M299" s="7">
        <f t="shared" si="299"/>
        <v>1</v>
      </c>
    </row>
    <row r="300" spans="1:13" x14ac:dyDescent="0.25">
      <c r="A300" s="1" t="str">
        <f t="shared" ref="A300:E300" si="340">A241</f>
        <v>P9</v>
      </c>
      <c r="B300" s="1">
        <f t="shared" si="340"/>
        <v>9</v>
      </c>
      <c r="C300" s="1">
        <f t="shared" si="340"/>
        <v>6</v>
      </c>
      <c r="D300" s="1">
        <f t="shared" si="340"/>
        <v>2</v>
      </c>
      <c r="E300" s="1">
        <f t="shared" si="340"/>
        <v>3</v>
      </c>
      <c r="F300" s="2">
        <f t="shared" si="293"/>
        <v>6</v>
      </c>
      <c r="H300" s="2">
        <v>2</v>
      </c>
      <c r="I300" s="2">
        <v>3</v>
      </c>
      <c r="J300" s="2">
        <v>1</v>
      </c>
      <c r="K300" s="2">
        <v>2E-3</v>
      </c>
      <c r="M300" s="7">
        <f t="shared" si="299"/>
        <v>1</v>
      </c>
    </row>
    <row r="301" spans="1:13" x14ac:dyDescent="0.25">
      <c r="A301" s="1" t="str">
        <f t="shared" ref="A301:E301" si="341">A242</f>
        <v>P9</v>
      </c>
      <c r="B301" s="1">
        <f t="shared" si="341"/>
        <v>9</v>
      </c>
      <c r="C301" s="1">
        <f t="shared" si="341"/>
        <v>7</v>
      </c>
      <c r="D301" s="1">
        <f t="shared" si="341"/>
        <v>2</v>
      </c>
      <c r="E301" s="1">
        <f t="shared" si="341"/>
        <v>3</v>
      </c>
      <c r="F301" s="2">
        <f t="shared" si="293"/>
        <v>6</v>
      </c>
      <c r="H301" s="2">
        <v>2</v>
      </c>
      <c r="I301" s="2">
        <v>3</v>
      </c>
      <c r="J301" s="2">
        <v>1</v>
      </c>
      <c r="K301" s="2">
        <v>3.0000000000000001E-3</v>
      </c>
      <c r="M301" s="7">
        <f t="shared" si="299"/>
        <v>1</v>
      </c>
    </row>
    <row r="302" spans="1:13" x14ac:dyDescent="0.25">
      <c r="A302" s="1" t="str">
        <f t="shared" ref="A302:E302" si="342">A243</f>
        <v>P12</v>
      </c>
      <c r="B302" s="1">
        <f t="shared" si="342"/>
        <v>12</v>
      </c>
      <c r="C302" s="1">
        <f t="shared" si="342"/>
        <v>4</v>
      </c>
      <c r="D302" s="1">
        <f t="shared" si="342"/>
        <v>4</v>
      </c>
      <c r="E302" s="1">
        <f t="shared" si="342"/>
        <v>7</v>
      </c>
      <c r="F302" s="2">
        <f t="shared" si="293"/>
        <v>6</v>
      </c>
      <c r="H302" s="2">
        <v>4</v>
      </c>
      <c r="I302" s="2">
        <v>7</v>
      </c>
      <c r="J302" s="2">
        <v>1</v>
      </c>
      <c r="K302" s="2">
        <v>2E-3</v>
      </c>
      <c r="M302" s="7">
        <f t="shared" si="299"/>
        <v>1</v>
      </c>
    </row>
    <row r="303" spans="1:13" x14ac:dyDescent="0.25">
      <c r="A303" s="1" t="str">
        <f t="shared" ref="A303:E303" si="343">A244</f>
        <v>P12</v>
      </c>
      <c r="B303" s="1">
        <f t="shared" si="343"/>
        <v>12</v>
      </c>
      <c r="C303" s="1">
        <f t="shared" si="343"/>
        <v>5</v>
      </c>
      <c r="D303" s="1">
        <f t="shared" si="343"/>
        <v>3</v>
      </c>
      <c r="E303" s="1">
        <f t="shared" si="343"/>
        <v>6</v>
      </c>
      <c r="F303" s="2">
        <f t="shared" si="293"/>
        <v>6</v>
      </c>
      <c r="H303" s="2">
        <v>3</v>
      </c>
      <c r="I303" s="2">
        <v>6</v>
      </c>
      <c r="J303" s="2">
        <v>1</v>
      </c>
      <c r="K303" s="2">
        <v>0.55900000000000005</v>
      </c>
      <c r="M303" s="7">
        <f t="shared" si="299"/>
        <v>1</v>
      </c>
    </row>
    <row r="304" spans="1:13" x14ac:dyDescent="0.25">
      <c r="A304" s="1" t="str">
        <f t="shared" ref="A304:E304" si="344">A245</f>
        <v>P12</v>
      </c>
      <c r="B304" s="1">
        <f t="shared" si="344"/>
        <v>12</v>
      </c>
      <c r="C304" s="1">
        <f t="shared" si="344"/>
        <v>6</v>
      </c>
      <c r="D304" s="1">
        <f t="shared" si="344"/>
        <v>3</v>
      </c>
      <c r="E304" s="1">
        <f t="shared" si="344"/>
        <v>5</v>
      </c>
      <c r="F304" s="2">
        <f t="shared" si="293"/>
        <v>6</v>
      </c>
      <c r="H304" s="2">
        <v>3</v>
      </c>
      <c r="I304" s="2">
        <v>5</v>
      </c>
      <c r="J304" s="2">
        <v>1</v>
      </c>
      <c r="K304" s="2">
        <v>1E-3</v>
      </c>
      <c r="M304" s="7">
        <f t="shared" si="299"/>
        <v>1</v>
      </c>
    </row>
    <row r="305" spans="1:13" x14ac:dyDescent="0.25">
      <c r="A305" s="1" t="str">
        <f t="shared" ref="A305:E305" si="345">A246</f>
        <v>P12</v>
      </c>
      <c r="B305" s="1">
        <f t="shared" si="345"/>
        <v>12</v>
      </c>
      <c r="C305" s="1">
        <f t="shared" si="345"/>
        <v>7</v>
      </c>
      <c r="D305" s="1">
        <f t="shared" si="345"/>
        <v>2</v>
      </c>
      <c r="E305" s="1">
        <f t="shared" si="345"/>
        <v>4</v>
      </c>
      <c r="F305" s="2">
        <f t="shared" si="293"/>
        <v>6</v>
      </c>
      <c r="H305" s="2">
        <v>2</v>
      </c>
      <c r="I305" s="2">
        <v>4</v>
      </c>
      <c r="J305" s="2">
        <v>1</v>
      </c>
      <c r="K305" s="2">
        <v>2E-3</v>
      </c>
      <c r="M305" s="7">
        <f t="shared" si="299"/>
        <v>1</v>
      </c>
    </row>
    <row r="306" spans="1:13" x14ac:dyDescent="0.25">
      <c r="A306" s="1" t="str">
        <f t="shared" ref="A306:E306" si="346">A247</f>
        <v>P12</v>
      </c>
      <c r="B306" s="1">
        <f t="shared" si="346"/>
        <v>12</v>
      </c>
      <c r="C306" s="1">
        <f t="shared" si="346"/>
        <v>8</v>
      </c>
      <c r="D306" s="1">
        <f t="shared" si="346"/>
        <v>2</v>
      </c>
      <c r="E306" s="1">
        <f t="shared" si="346"/>
        <v>4</v>
      </c>
      <c r="F306" s="2">
        <f t="shared" si="293"/>
        <v>6</v>
      </c>
      <c r="H306" s="2">
        <v>2</v>
      </c>
      <c r="I306" s="2">
        <v>4</v>
      </c>
      <c r="J306" s="2">
        <v>1</v>
      </c>
      <c r="K306" s="2">
        <v>5.0000000000000001E-3</v>
      </c>
      <c r="M306" s="7">
        <f t="shared" si="299"/>
        <v>1</v>
      </c>
    </row>
    <row r="307" spans="1:13" x14ac:dyDescent="0.25">
      <c r="A307" s="1" t="str">
        <f t="shared" ref="A307:E307" si="347">A248</f>
        <v>P12</v>
      </c>
      <c r="B307" s="1">
        <f t="shared" si="347"/>
        <v>12</v>
      </c>
      <c r="C307" s="1">
        <f t="shared" si="347"/>
        <v>9</v>
      </c>
      <c r="D307" s="1">
        <f t="shared" si="347"/>
        <v>2</v>
      </c>
      <c r="E307" s="1">
        <f t="shared" si="347"/>
        <v>3</v>
      </c>
      <c r="F307" s="2">
        <f t="shared" si="293"/>
        <v>6</v>
      </c>
      <c r="H307" s="2">
        <v>2</v>
      </c>
      <c r="I307" s="2">
        <v>3</v>
      </c>
      <c r="J307" s="2">
        <v>1</v>
      </c>
      <c r="K307" s="2">
        <v>6.0000000000000001E-3</v>
      </c>
      <c r="M307" s="7">
        <f t="shared" si="299"/>
        <v>1</v>
      </c>
    </row>
    <row r="308" spans="1:13" x14ac:dyDescent="0.25">
      <c r="A308" s="1" t="str">
        <f t="shared" ref="A308:E308" si="348">A249</f>
        <v>P16</v>
      </c>
      <c r="B308" s="1">
        <f t="shared" si="348"/>
        <v>16</v>
      </c>
      <c r="C308" s="1">
        <f t="shared" si="348"/>
        <v>15</v>
      </c>
      <c r="D308" s="1">
        <f t="shared" si="348"/>
        <v>4</v>
      </c>
      <c r="E308" s="1">
        <f t="shared" si="348"/>
        <v>6</v>
      </c>
      <c r="F308" s="2">
        <f t="shared" si="293"/>
        <v>6</v>
      </c>
      <c r="H308" s="2">
        <v>4</v>
      </c>
      <c r="I308" s="2">
        <v>6</v>
      </c>
      <c r="J308" s="2">
        <v>1</v>
      </c>
      <c r="K308" s="2">
        <v>0.621</v>
      </c>
      <c r="M308" s="7">
        <f t="shared" si="299"/>
        <v>1</v>
      </c>
    </row>
    <row r="309" spans="1:13" x14ac:dyDescent="0.25">
      <c r="A309" s="1" t="str">
        <f t="shared" ref="A309:E309" si="349">A250</f>
        <v>P16</v>
      </c>
      <c r="B309" s="1">
        <f t="shared" si="349"/>
        <v>16</v>
      </c>
      <c r="C309" s="1">
        <f t="shared" si="349"/>
        <v>16</v>
      </c>
      <c r="D309" s="1">
        <f t="shared" si="349"/>
        <v>3</v>
      </c>
      <c r="E309" s="1">
        <f t="shared" si="349"/>
        <v>6</v>
      </c>
      <c r="F309" s="2">
        <f t="shared" si="293"/>
        <v>6</v>
      </c>
      <c r="H309" s="2">
        <v>3</v>
      </c>
      <c r="I309" s="2">
        <v>6</v>
      </c>
      <c r="J309" s="2">
        <v>1</v>
      </c>
      <c r="K309" s="2">
        <v>2E-3</v>
      </c>
      <c r="M309" s="7">
        <f t="shared" si="299"/>
        <v>1</v>
      </c>
    </row>
    <row r="310" spans="1:13" x14ac:dyDescent="0.25">
      <c r="A310" s="1" t="str">
        <f t="shared" ref="A310:E310" si="350">A251</f>
        <v>P16</v>
      </c>
      <c r="B310" s="1">
        <f t="shared" si="350"/>
        <v>16</v>
      </c>
      <c r="C310" s="1">
        <f t="shared" si="350"/>
        <v>18</v>
      </c>
      <c r="D310" s="1">
        <f t="shared" si="350"/>
        <v>3</v>
      </c>
      <c r="E310" s="1">
        <f t="shared" si="350"/>
        <v>6</v>
      </c>
      <c r="F310" s="2">
        <f t="shared" si="293"/>
        <v>6</v>
      </c>
      <c r="H310" s="2">
        <v>3</v>
      </c>
      <c r="I310" s="2">
        <v>6</v>
      </c>
      <c r="J310" s="2">
        <v>1</v>
      </c>
      <c r="K310" s="2">
        <v>0.66800000000000004</v>
      </c>
      <c r="M310" s="7">
        <f t="shared" si="299"/>
        <v>1</v>
      </c>
    </row>
    <row r="311" spans="1:13" x14ac:dyDescent="0.25">
      <c r="A311" s="1" t="str">
        <f t="shared" ref="A311:E311" si="351">A252</f>
        <v>P16</v>
      </c>
      <c r="B311" s="1">
        <f t="shared" si="351"/>
        <v>16</v>
      </c>
      <c r="C311" s="1">
        <f t="shared" si="351"/>
        <v>19</v>
      </c>
      <c r="D311" s="1">
        <f t="shared" si="351"/>
        <v>3</v>
      </c>
      <c r="E311" s="1">
        <f t="shared" si="351"/>
        <v>5</v>
      </c>
      <c r="F311" s="2">
        <f t="shared" si="293"/>
        <v>6</v>
      </c>
      <c r="H311" s="2">
        <v>3</v>
      </c>
      <c r="I311" s="2">
        <v>5</v>
      </c>
      <c r="J311" s="2">
        <v>1</v>
      </c>
      <c r="K311" s="2">
        <v>0.60099999999999998</v>
      </c>
      <c r="M311" s="7">
        <f t="shared" si="299"/>
        <v>1</v>
      </c>
    </row>
    <row r="312" spans="1:13" x14ac:dyDescent="0.25">
      <c r="A312" s="1" t="str">
        <f t="shared" ref="A312:E312" si="352">A253</f>
        <v>P16</v>
      </c>
      <c r="B312" s="1">
        <f t="shared" si="352"/>
        <v>16</v>
      </c>
      <c r="C312" s="1">
        <f t="shared" si="352"/>
        <v>20</v>
      </c>
      <c r="D312" s="1">
        <f t="shared" si="352"/>
        <v>3</v>
      </c>
      <c r="E312" s="1">
        <f t="shared" si="352"/>
        <v>5</v>
      </c>
      <c r="F312" s="2">
        <f t="shared" si="293"/>
        <v>6</v>
      </c>
      <c r="H312" s="2">
        <v>3</v>
      </c>
      <c r="I312" s="2">
        <v>5</v>
      </c>
      <c r="J312" s="2">
        <v>1</v>
      </c>
      <c r="K312" s="2">
        <v>0.68400000000000005</v>
      </c>
      <c r="M312" s="7">
        <f t="shared" si="299"/>
        <v>1</v>
      </c>
    </row>
    <row r="313" spans="1:13" x14ac:dyDescent="0.25">
      <c r="A313" s="1" t="str">
        <f t="shared" ref="A313:E313" si="353">A254</f>
        <v>P16</v>
      </c>
      <c r="B313" s="1">
        <f t="shared" si="353"/>
        <v>16</v>
      </c>
      <c r="C313" s="1">
        <f t="shared" si="353"/>
        <v>21</v>
      </c>
      <c r="D313" s="1">
        <f t="shared" si="353"/>
        <v>3</v>
      </c>
      <c r="E313" s="1">
        <f t="shared" si="353"/>
        <v>5</v>
      </c>
      <c r="F313" s="2">
        <f t="shared" si="293"/>
        <v>6</v>
      </c>
      <c r="H313" s="2">
        <v>3</v>
      </c>
      <c r="I313" s="2">
        <v>5</v>
      </c>
      <c r="J313" s="2">
        <v>1</v>
      </c>
      <c r="K313" s="2">
        <v>0.70599999999999996</v>
      </c>
      <c r="M313" s="7">
        <f t="shared" si="299"/>
        <v>1</v>
      </c>
    </row>
    <row r="314" spans="1:13" x14ac:dyDescent="0.25">
      <c r="A314" s="1" t="str">
        <f t="shared" ref="A314:E314" si="354">A255</f>
        <v>P16</v>
      </c>
      <c r="B314" s="1">
        <f t="shared" si="354"/>
        <v>16</v>
      </c>
      <c r="C314" s="1">
        <f t="shared" si="354"/>
        <v>22</v>
      </c>
      <c r="D314" s="1">
        <f t="shared" si="354"/>
        <v>2</v>
      </c>
      <c r="E314" s="1">
        <f t="shared" si="354"/>
        <v>4</v>
      </c>
      <c r="F314" s="2">
        <f t="shared" si="293"/>
        <v>6</v>
      </c>
      <c r="H314" s="2">
        <v>2</v>
      </c>
      <c r="I314" s="2">
        <v>4</v>
      </c>
      <c r="J314" s="2">
        <v>1</v>
      </c>
      <c r="K314" s="2">
        <v>8.9999999999999993E-3</v>
      </c>
      <c r="M314" s="7">
        <f t="shared" si="299"/>
        <v>1</v>
      </c>
    </row>
    <row r="315" spans="1:13" x14ac:dyDescent="0.25">
      <c r="A315" s="1" t="str">
        <f t="shared" ref="A315:E315" si="355">A256</f>
        <v>P24</v>
      </c>
      <c r="B315" s="1">
        <f t="shared" si="355"/>
        <v>24</v>
      </c>
      <c r="C315" s="1">
        <f t="shared" si="355"/>
        <v>18</v>
      </c>
      <c r="D315" s="1">
        <f t="shared" si="355"/>
        <v>4</v>
      </c>
      <c r="E315" s="1">
        <f t="shared" si="355"/>
        <v>8</v>
      </c>
      <c r="F315" s="2">
        <f t="shared" si="293"/>
        <v>6</v>
      </c>
      <c r="H315" s="2">
        <v>4</v>
      </c>
      <c r="I315" s="2">
        <v>8</v>
      </c>
      <c r="J315" s="2">
        <v>1</v>
      </c>
      <c r="K315" s="2">
        <v>0.04</v>
      </c>
      <c r="M315" s="7">
        <f t="shared" si="299"/>
        <v>1</v>
      </c>
    </row>
    <row r="316" spans="1:13" x14ac:dyDescent="0.25">
      <c r="A316" s="1" t="str">
        <f t="shared" ref="A316:E316" si="356">A257</f>
        <v>P24</v>
      </c>
      <c r="B316" s="1">
        <f t="shared" si="356"/>
        <v>24</v>
      </c>
      <c r="C316" s="1">
        <f t="shared" si="356"/>
        <v>20</v>
      </c>
      <c r="D316" s="1">
        <f t="shared" si="356"/>
        <v>4</v>
      </c>
      <c r="E316" s="1">
        <f t="shared" si="356"/>
        <v>7</v>
      </c>
      <c r="F316" s="2">
        <f t="shared" si="293"/>
        <v>6</v>
      </c>
      <c r="H316" s="2">
        <v>4</v>
      </c>
      <c r="I316" s="2">
        <v>7</v>
      </c>
      <c r="J316" s="2">
        <v>1</v>
      </c>
      <c r="K316" s="2">
        <v>4.4660000000000002</v>
      </c>
      <c r="M316" s="7">
        <f t="shared" si="299"/>
        <v>1</v>
      </c>
    </row>
    <row r="317" spans="1:13" x14ac:dyDescent="0.25">
      <c r="A317" s="1" t="str">
        <f t="shared" ref="A317:E317" si="357">A258</f>
        <v>P24</v>
      </c>
      <c r="B317" s="1">
        <f t="shared" si="357"/>
        <v>24</v>
      </c>
      <c r="C317" s="1">
        <f t="shared" si="357"/>
        <v>24</v>
      </c>
      <c r="D317" s="1">
        <f t="shared" si="357"/>
        <v>3</v>
      </c>
      <c r="E317" s="1">
        <f t="shared" si="357"/>
        <v>6</v>
      </c>
      <c r="F317" s="2">
        <f t="shared" si="293"/>
        <v>6</v>
      </c>
      <c r="H317" s="2">
        <v>3</v>
      </c>
      <c r="I317" s="2">
        <v>6</v>
      </c>
      <c r="J317" s="2">
        <v>1</v>
      </c>
      <c r="K317" s="2">
        <v>0.04</v>
      </c>
      <c r="M317" s="7">
        <f t="shared" si="299"/>
        <v>1</v>
      </c>
    </row>
    <row r="318" spans="1:13" x14ac:dyDescent="0.25">
      <c r="A318" s="1" t="str">
        <f t="shared" ref="A318:E318" si="358">A259</f>
        <v>P24</v>
      </c>
      <c r="B318" s="1">
        <f t="shared" si="358"/>
        <v>24</v>
      </c>
      <c r="C318" s="1">
        <f t="shared" si="358"/>
        <v>25</v>
      </c>
      <c r="D318" s="1">
        <f t="shared" si="358"/>
        <v>3</v>
      </c>
      <c r="E318" s="1">
        <f t="shared" si="358"/>
        <v>6</v>
      </c>
      <c r="F318" s="2">
        <f t="shared" ref="F318:F381" si="359">F259+1</f>
        <v>6</v>
      </c>
      <c r="H318" s="2">
        <v>3</v>
      </c>
      <c r="I318" s="2">
        <v>6</v>
      </c>
      <c r="J318" s="2">
        <v>1</v>
      </c>
      <c r="K318" s="2">
        <v>0.04</v>
      </c>
      <c r="M318" s="7">
        <f t="shared" si="299"/>
        <v>1</v>
      </c>
    </row>
    <row r="319" spans="1:13" x14ac:dyDescent="0.25">
      <c r="A319" s="1" t="str">
        <f t="shared" ref="A319:E319" si="360">A260</f>
        <v>P24</v>
      </c>
      <c r="B319" s="1">
        <f t="shared" si="360"/>
        <v>24</v>
      </c>
      <c r="C319" s="1">
        <f t="shared" si="360"/>
        <v>30</v>
      </c>
      <c r="D319" s="1">
        <f t="shared" si="360"/>
        <v>3</v>
      </c>
      <c r="E319" s="1">
        <f t="shared" si="360"/>
        <v>5</v>
      </c>
      <c r="F319" s="2">
        <f t="shared" si="359"/>
        <v>6</v>
      </c>
      <c r="H319" s="2">
        <v>3</v>
      </c>
      <c r="I319" s="2">
        <v>5</v>
      </c>
      <c r="J319" s="2">
        <v>1</v>
      </c>
      <c r="K319" s="2">
        <v>4.2999999999999997E-2</v>
      </c>
      <c r="M319" s="7">
        <f t="shared" si="299"/>
        <v>1</v>
      </c>
    </row>
    <row r="320" spans="1:13" x14ac:dyDescent="0.25">
      <c r="A320" s="1" t="str">
        <f t="shared" ref="A320:E320" si="361">A261</f>
        <v>P24</v>
      </c>
      <c r="B320" s="1">
        <f t="shared" si="361"/>
        <v>24</v>
      </c>
      <c r="C320" s="1">
        <f t="shared" si="361"/>
        <v>35</v>
      </c>
      <c r="D320" s="1">
        <f t="shared" si="361"/>
        <v>2</v>
      </c>
      <c r="E320" s="1">
        <f t="shared" si="361"/>
        <v>4</v>
      </c>
      <c r="F320" s="2">
        <f t="shared" si="359"/>
        <v>6</v>
      </c>
      <c r="H320" s="2">
        <v>2</v>
      </c>
      <c r="I320" s="2">
        <v>4</v>
      </c>
      <c r="J320" s="2">
        <v>1</v>
      </c>
      <c r="K320" s="2">
        <v>4.9000000000000002E-2</v>
      </c>
      <c r="M320" s="7">
        <f t="shared" si="299"/>
        <v>1</v>
      </c>
    </row>
    <row r="321" spans="1:13" x14ac:dyDescent="0.25">
      <c r="A321" s="1" t="str">
        <f t="shared" ref="A321:E321" si="362">A262</f>
        <v>P24</v>
      </c>
      <c r="B321" s="1">
        <f t="shared" si="362"/>
        <v>24</v>
      </c>
      <c r="C321" s="1">
        <f t="shared" si="362"/>
        <v>40</v>
      </c>
      <c r="D321" s="1">
        <f t="shared" si="362"/>
        <v>2</v>
      </c>
      <c r="E321" s="1">
        <f t="shared" si="362"/>
        <v>4</v>
      </c>
      <c r="F321" s="2">
        <f t="shared" si="359"/>
        <v>6</v>
      </c>
      <c r="H321" s="2">
        <v>2</v>
      </c>
      <c r="I321" s="2">
        <v>4</v>
      </c>
      <c r="J321" s="2">
        <v>1</v>
      </c>
      <c r="K321" s="2">
        <v>4.5999999999999999E-2</v>
      </c>
      <c r="M321" s="7">
        <f t="shared" si="299"/>
        <v>1</v>
      </c>
    </row>
    <row r="322" spans="1:13" x14ac:dyDescent="0.25">
      <c r="A322" s="1" t="str">
        <f t="shared" ref="A322:E322" si="363">A263</f>
        <v>P65</v>
      </c>
      <c r="B322" s="1">
        <f t="shared" si="363"/>
        <v>65</v>
      </c>
      <c r="C322" s="1">
        <f t="shared" si="363"/>
        <v>326</v>
      </c>
      <c r="D322" s="1">
        <f t="shared" si="363"/>
        <v>8</v>
      </c>
      <c r="E322" s="1">
        <f t="shared" si="363"/>
        <v>16</v>
      </c>
      <c r="F322" s="2">
        <f t="shared" si="359"/>
        <v>6</v>
      </c>
      <c r="H322" s="2">
        <v>8</v>
      </c>
      <c r="I322" s="2">
        <v>16</v>
      </c>
      <c r="J322" s="2">
        <v>1</v>
      </c>
      <c r="K322" s="2">
        <v>0.15</v>
      </c>
      <c r="M322" s="7">
        <f t="shared" si="299"/>
        <v>1</v>
      </c>
    </row>
    <row r="323" spans="1:13" x14ac:dyDescent="0.25">
      <c r="A323" s="1" t="str">
        <f t="shared" ref="A323:E323" si="364">A264</f>
        <v>P65</v>
      </c>
      <c r="B323" s="1">
        <f t="shared" si="364"/>
        <v>65</v>
      </c>
      <c r="C323" s="1">
        <f t="shared" si="364"/>
        <v>381</v>
      </c>
      <c r="D323" s="1">
        <f t="shared" si="364"/>
        <v>7</v>
      </c>
      <c r="E323" s="1">
        <f t="shared" si="364"/>
        <v>14</v>
      </c>
      <c r="F323" s="2">
        <f t="shared" si="359"/>
        <v>6</v>
      </c>
      <c r="H323" s="2">
        <v>7</v>
      </c>
      <c r="I323" s="2">
        <v>14</v>
      </c>
      <c r="J323" s="2">
        <v>1</v>
      </c>
      <c r="K323" s="2">
        <v>0.14299999999999999</v>
      </c>
      <c r="M323" s="7">
        <f t="shared" ref="M323:M386" si="365">IF(D323*100+E323=H323*100+I323,1,0)</f>
        <v>1</v>
      </c>
    </row>
    <row r="324" spans="1:13" x14ac:dyDescent="0.25">
      <c r="A324" s="1" t="str">
        <f t="shared" ref="A324:E324" si="366">A265</f>
        <v>P65</v>
      </c>
      <c r="B324" s="1">
        <f t="shared" si="366"/>
        <v>65</v>
      </c>
      <c r="C324" s="1">
        <f t="shared" si="366"/>
        <v>435</v>
      </c>
      <c r="D324" s="1">
        <f t="shared" si="366"/>
        <v>6</v>
      </c>
      <c r="E324" s="1">
        <f t="shared" si="366"/>
        <v>12</v>
      </c>
      <c r="F324" s="2">
        <f t="shared" si="359"/>
        <v>6</v>
      </c>
      <c r="H324" s="2">
        <v>6</v>
      </c>
      <c r="I324" s="2">
        <v>12</v>
      </c>
      <c r="J324" s="2">
        <v>1</v>
      </c>
      <c r="K324" s="2">
        <v>4.6500000000000004</v>
      </c>
      <c r="M324" s="7">
        <f t="shared" si="365"/>
        <v>1</v>
      </c>
    </row>
    <row r="325" spans="1:13" x14ac:dyDescent="0.25">
      <c r="A325" s="1" t="str">
        <f t="shared" ref="A325:E325" si="367">A266</f>
        <v>P65</v>
      </c>
      <c r="B325" s="1">
        <f t="shared" si="367"/>
        <v>65</v>
      </c>
      <c r="C325" s="1">
        <f t="shared" si="367"/>
        <v>490</v>
      </c>
      <c r="D325" s="1">
        <f t="shared" si="367"/>
        <v>6</v>
      </c>
      <c r="E325" s="1">
        <f t="shared" si="367"/>
        <v>11</v>
      </c>
      <c r="F325" s="2">
        <f t="shared" si="359"/>
        <v>6</v>
      </c>
      <c r="H325" s="2">
        <v>6</v>
      </c>
      <c r="I325" s="2">
        <v>11</v>
      </c>
      <c r="J325" s="2">
        <v>1</v>
      </c>
      <c r="K325" s="2">
        <v>8.1199999999999992</v>
      </c>
      <c r="M325" s="7">
        <f t="shared" si="365"/>
        <v>1</v>
      </c>
    </row>
    <row r="326" spans="1:13" x14ac:dyDescent="0.25">
      <c r="A326" s="1" t="str">
        <f t="shared" ref="A326:E326" si="368">A267</f>
        <v>P65</v>
      </c>
      <c r="B326" s="1">
        <f t="shared" si="368"/>
        <v>65</v>
      </c>
      <c r="C326" s="1">
        <f t="shared" si="368"/>
        <v>512</v>
      </c>
      <c r="D326" s="1">
        <f t="shared" si="368"/>
        <v>5</v>
      </c>
      <c r="E326" s="1">
        <f t="shared" si="368"/>
        <v>10</v>
      </c>
      <c r="F326" s="2">
        <f t="shared" si="359"/>
        <v>6</v>
      </c>
      <c r="H326" s="2">
        <v>6</v>
      </c>
      <c r="I326" s="2">
        <v>10</v>
      </c>
      <c r="J326" s="2">
        <v>0</v>
      </c>
      <c r="K326" s="2">
        <v>300.07799999999997</v>
      </c>
      <c r="M326" s="7">
        <f t="shared" si="365"/>
        <v>0</v>
      </c>
    </row>
    <row r="327" spans="1:13" x14ac:dyDescent="0.25">
      <c r="A327" s="1" t="str">
        <f t="shared" ref="A327:E327" si="369">A268</f>
        <v>P65</v>
      </c>
      <c r="B327" s="1">
        <f t="shared" si="369"/>
        <v>65</v>
      </c>
      <c r="C327" s="1">
        <f t="shared" si="369"/>
        <v>544</v>
      </c>
      <c r="D327" s="1">
        <f t="shared" si="369"/>
        <v>5</v>
      </c>
      <c r="E327" s="1">
        <f t="shared" si="369"/>
        <v>10</v>
      </c>
      <c r="F327" s="2">
        <f t="shared" si="359"/>
        <v>6</v>
      </c>
      <c r="H327" s="2">
        <v>5</v>
      </c>
      <c r="I327" s="2">
        <v>10</v>
      </c>
      <c r="J327" s="2">
        <v>1</v>
      </c>
      <c r="K327" s="2">
        <v>10.891999999999999</v>
      </c>
      <c r="M327" s="7">
        <f t="shared" si="365"/>
        <v>1</v>
      </c>
    </row>
    <row r="328" spans="1:13" x14ac:dyDescent="0.25">
      <c r="A328" s="1" t="str">
        <f t="shared" ref="A328:E328" si="370">A269</f>
        <v>P148</v>
      </c>
      <c r="B328" s="1">
        <f t="shared" si="370"/>
        <v>148</v>
      </c>
      <c r="C328" s="1">
        <f t="shared" si="370"/>
        <v>204</v>
      </c>
      <c r="D328" s="1">
        <f t="shared" si="370"/>
        <v>13</v>
      </c>
      <c r="E328" s="1">
        <f t="shared" si="370"/>
        <v>26</v>
      </c>
      <c r="F328" s="2">
        <f t="shared" si="359"/>
        <v>6</v>
      </c>
      <c r="H328" s="2">
        <v>14</v>
      </c>
      <c r="I328" s="2">
        <v>26</v>
      </c>
      <c r="J328" s="2">
        <v>0</v>
      </c>
      <c r="K328" s="2">
        <v>300.928</v>
      </c>
      <c r="M328" s="7">
        <f t="shared" si="365"/>
        <v>0</v>
      </c>
    </row>
    <row r="329" spans="1:13" x14ac:dyDescent="0.25">
      <c r="A329" s="1" t="str">
        <f t="shared" ref="A329:E329" si="371">A270</f>
        <v>P148</v>
      </c>
      <c r="B329" s="1">
        <f t="shared" si="371"/>
        <v>148</v>
      </c>
      <c r="C329" s="1">
        <f t="shared" si="371"/>
        <v>228</v>
      </c>
      <c r="D329" s="1">
        <f t="shared" si="371"/>
        <v>12</v>
      </c>
      <c r="E329" s="1">
        <f t="shared" si="371"/>
        <v>23</v>
      </c>
      <c r="F329" s="2">
        <f t="shared" si="359"/>
        <v>6</v>
      </c>
      <c r="H329" s="2">
        <v>12</v>
      </c>
      <c r="I329" s="2">
        <v>23</v>
      </c>
      <c r="J329" s="2">
        <v>1</v>
      </c>
      <c r="K329" s="2">
        <v>144.83500000000001</v>
      </c>
      <c r="M329" s="7">
        <f t="shared" si="365"/>
        <v>1</v>
      </c>
    </row>
    <row r="330" spans="1:13" x14ac:dyDescent="0.25">
      <c r="A330" s="1" t="str">
        <f t="shared" ref="A330:E330" si="372">A271</f>
        <v>P148</v>
      </c>
      <c r="B330" s="1">
        <f t="shared" si="372"/>
        <v>148</v>
      </c>
      <c r="C330" s="1">
        <f t="shared" si="372"/>
        <v>255</v>
      </c>
      <c r="D330" s="1">
        <f t="shared" si="372"/>
        <v>11</v>
      </c>
      <c r="E330" s="1">
        <f t="shared" si="372"/>
        <v>21</v>
      </c>
      <c r="F330" s="2">
        <f t="shared" si="359"/>
        <v>6</v>
      </c>
      <c r="H330" s="2">
        <v>11</v>
      </c>
      <c r="I330" s="2">
        <v>21</v>
      </c>
      <c r="J330" s="2">
        <v>1</v>
      </c>
      <c r="K330" s="2">
        <v>48.29</v>
      </c>
      <c r="M330" s="7">
        <f t="shared" si="365"/>
        <v>1</v>
      </c>
    </row>
    <row r="331" spans="1:13" x14ac:dyDescent="0.25">
      <c r="A331" s="1" t="str">
        <f t="shared" ref="A331:E331" si="373">A272</f>
        <v>P148</v>
      </c>
      <c r="B331" s="1">
        <f t="shared" si="373"/>
        <v>148</v>
      </c>
      <c r="C331" s="1">
        <f t="shared" si="373"/>
        <v>306</v>
      </c>
      <c r="D331" s="1">
        <f t="shared" si="373"/>
        <v>9</v>
      </c>
      <c r="E331" s="1">
        <f t="shared" si="373"/>
        <v>17</v>
      </c>
      <c r="F331" s="2">
        <f t="shared" si="359"/>
        <v>6</v>
      </c>
      <c r="H331" s="2">
        <v>9</v>
      </c>
      <c r="I331" s="2">
        <v>18</v>
      </c>
      <c r="J331" s="2">
        <v>0</v>
      </c>
      <c r="K331" s="2">
        <v>300.69400000000002</v>
      </c>
      <c r="M331" s="7">
        <f t="shared" si="365"/>
        <v>0</v>
      </c>
    </row>
    <row r="332" spans="1:13" x14ac:dyDescent="0.25">
      <c r="A332" s="1" t="str">
        <f t="shared" ref="A332:E332" si="374">A273</f>
        <v>P148</v>
      </c>
      <c r="B332" s="1">
        <f t="shared" si="374"/>
        <v>148</v>
      </c>
      <c r="C332" s="1">
        <f t="shared" si="374"/>
        <v>357</v>
      </c>
      <c r="D332" s="1">
        <f t="shared" si="374"/>
        <v>8</v>
      </c>
      <c r="E332" s="1">
        <f t="shared" si="374"/>
        <v>15</v>
      </c>
      <c r="F332" s="2">
        <f t="shared" si="359"/>
        <v>6</v>
      </c>
      <c r="H332" s="2">
        <v>8</v>
      </c>
      <c r="I332" s="2">
        <v>15</v>
      </c>
      <c r="J332" s="2">
        <v>1</v>
      </c>
      <c r="K332" s="2">
        <v>4.9489999999999998</v>
      </c>
      <c r="M332" s="7">
        <f t="shared" si="365"/>
        <v>1</v>
      </c>
    </row>
    <row r="333" spans="1:13" x14ac:dyDescent="0.25">
      <c r="A333" s="1" t="str">
        <f t="shared" ref="A333:E333" si="375">A274</f>
        <v>P148</v>
      </c>
      <c r="B333" s="1">
        <f t="shared" si="375"/>
        <v>148</v>
      </c>
      <c r="C333" s="1">
        <f t="shared" si="375"/>
        <v>378</v>
      </c>
      <c r="D333" s="1">
        <f t="shared" si="375"/>
        <v>7</v>
      </c>
      <c r="E333" s="1">
        <f t="shared" si="375"/>
        <v>14</v>
      </c>
      <c r="F333" s="2">
        <f t="shared" si="359"/>
        <v>6</v>
      </c>
      <c r="H333" s="2">
        <v>8</v>
      </c>
      <c r="I333" s="2">
        <v>14</v>
      </c>
      <c r="J333" s="2">
        <v>0</v>
      </c>
      <c r="K333" s="2">
        <v>300.83999999999997</v>
      </c>
      <c r="M333" s="7">
        <f t="shared" si="365"/>
        <v>0</v>
      </c>
    </row>
    <row r="334" spans="1:13" x14ac:dyDescent="0.25">
      <c r="A334" s="1" t="str">
        <f t="shared" ref="A334:E334" si="376">A275</f>
        <v>P148</v>
      </c>
      <c r="B334" s="1">
        <f t="shared" si="376"/>
        <v>148</v>
      </c>
      <c r="C334" s="1">
        <f t="shared" si="376"/>
        <v>408</v>
      </c>
      <c r="D334" s="1">
        <f t="shared" si="376"/>
        <v>7</v>
      </c>
      <c r="E334" s="1">
        <f t="shared" si="376"/>
        <v>13</v>
      </c>
      <c r="F334" s="2">
        <f t="shared" si="359"/>
        <v>6</v>
      </c>
      <c r="H334" s="2">
        <v>8</v>
      </c>
      <c r="I334" s="2">
        <v>13</v>
      </c>
      <c r="J334" s="2">
        <v>0</v>
      </c>
      <c r="K334" s="2">
        <v>301.286</v>
      </c>
      <c r="M334" s="7">
        <f t="shared" si="365"/>
        <v>0</v>
      </c>
    </row>
    <row r="335" spans="1:13" x14ac:dyDescent="0.25">
      <c r="A335" s="1" t="str">
        <f t="shared" ref="A335:E335" si="377">A276</f>
        <v>P148</v>
      </c>
      <c r="B335" s="1">
        <f t="shared" si="377"/>
        <v>148</v>
      </c>
      <c r="C335" s="1">
        <f t="shared" si="377"/>
        <v>454</v>
      </c>
      <c r="D335" s="1">
        <f t="shared" si="377"/>
        <v>6</v>
      </c>
      <c r="E335" s="1">
        <f t="shared" si="377"/>
        <v>12</v>
      </c>
      <c r="F335" s="2">
        <f t="shared" si="359"/>
        <v>6</v>
      </c>
      <c r="H335" s="2">
        <v>7</v>
      </c>
      <c r="I335" s="2">
        <v>12</v>
      </c>
      <c r="J335" s="2">
        <v>0</v>
      </c>
      <c r="K335" s="2">
        <v>300.108</v>
      </c>
      <c r="M335" s="7">
        <f t="shared" si="365"/>
        <v>0</v>
      </c>
    </row>
    <row r="336" spans="1:13" x14ac:dyDescent="0.25">
      <c r="A336" s="1" t="str">
        <f t="shared" ref="A336:E336" si="378">A277</f>
        <v>P148</v>
      </c>
      <c r="B336" s="1">
        <f t="shared" si="378"/>
        <v>148</v>
      </c>
      <c r="C336" s="1">
        <f t="shared" si="378"/>
        <v>459</v>
      </c>
      <c r="D336" s="1">
        <f t="shared" si="378"/>
        <v>6</v>
      </c>
      <c r="E336" s="1">
        <f t="shared" si="378"/>
        <v>12</v>
      </c>
      <c r="F336" s="2">
        <f t="shared" si="359"/>
        <v>6</v>
      </c>
      <c r="H336" s="2">
        <v>7</v>
      </c>
      <c r="I336" s="2">
        <v>12</v>
      </c>
      <c r="J336" s="2">
        <v>0</v>
      </c>
      <c r="K336" s="2">
        <v>301.13200000000001</v>
      </c>
      <c r="M336" s="7">
        <f t="shared" si="365"/>
        <v>0</v>
      </c>
    </row>
    <row r="337" spans="1:13" x14ac:dyDescent="0.25">
      <c r="A337" s="1" t="str">
        <f t="shared" ref="A337:E337" si="379">A278</f>
        <v>P148</v>
      </c>
      <c r="B337" s="1">
        <f t="shared" si="379"/>
        <v>148</v>
      </c>
      <c r="C337" s="1">
        <f t="shared" si="379"/>
        <v>510</v>
      </c>
      <c r="D337" s="1">
        <f t="shared" si="379"/>
        <v>6</v>
      </c>
      <c r="E337" s="1">
        <f t="shared" si="379"/>
        <v>11</v>
      </c>
      <c r="F337" s="2">
        <f t="shared" si="359"/>
        <v>6</v>
      </c>
      <c r="H337" s="2">
        <v>7</v>
      </c>
      <c r="I337" s="2">
        <v>11</v>
      </c>
      <c r="J337" s="2">
        <v>0</v>
      </c>
      <c r="K337" s="2">
        <v>300.85700000000003</v>
      </c>
      <c r="M337" s="7">
        <f t="shared" si="365"/>
        <v>0</v>
      </c>
    </row>
    <row r="338" spans="1:13" x14ac:dyDescent="0.25">
      <c r="A338" s="1" t="str">
        <f t="shared" ref="A338:E338" si="380">A279</f>
        <v>P205</v>
      </c>
      <c r="B338" s="1">
        <f t="shared" si="380"/>
        <v>205</v>
      </c>
      <c r="C338" s="1">
        <f t="shared" si="380"/>
        <v>1133</v>
      </c>
      <c r="D338" s="1">
        <f t="shared" si="380"/>
        <v>11</v>
      </c>
      <c r="E338" s="1">
        <f t="shared" si="380"/>
        <v>21</v>
      </c>
      <c r="F338" s="2">
        <f t="shared" si="359"/>
        <v>6</v>
      </c>
      <c r="H338" s="2">
        <v>11</v>
      </c>
      <c r="I338" s="2">
        <v>22</v>
      </c>
      <c r="J338" s="2">
        <v>0</v>
      </c>
      <c r="K338" s="2">
        <v>300.96699999999998</v>
      </c>
      <c r="M338" s="7">
        <f t="shared" si="365"/>
        <v>0</v>
      </c>
    </row>
    <row r="339" spans="1:13" x14ac:dyDescent="0.25">
      <c r="A339" s="1" t="str">
        <f t="shared" ref="A339:E339" si="381">A280</f>
        <v>P205</v>
      </c>
      <c r="B339" s="1">
        <f t="shared" si="381"/>
        <v>205</v>
      </c>
      <c r="C339" s="1">
        <f t="shared" si="381"/>
        <v>1275</v>
      </c>
      <c r="D339" s="1">
        <f t="shared" si="381"/>
        <v>10</v>
      </c>
      <c r="E339" s="1">
        <f t="shared" si="381"/>
        <v>19</v>
      </c>
      <c r="F339" s="2">
        <f t="shared" si="359"/>
        <v>6</v>
      </c>
      <c r="H339" s="2">
        <v>11</v>
      </c>
      <c r="I339" s="2">
        <v>22</v>
      </c>
      <c r="J339" s="2">
        <v>0</v>
      </c>
      <c r="K339" s="2">
        <v>301.233</v>
      </c>
      <c r="M339" s="7">
        <f t="shared" si="365"/>
        <v>0</v>
      </c>
    </row>
    <row r="340" spans="1:13" x14ac:dyDescent="0.25">
      <c r="A340" s="1" t="str">
        <f t="shared" ref="A340:E340" si="382">A281</f>
        <v>P205</v>
      </c>
      <c r="B340" s="1">
        <f t="shared" si="382"/>
        <v>205</v>
      </c>
      <c r="C340" s="1">
        <f t="shared" si="382"/>
        <v>1322</v>
      </c>
      <c r="D340" s="1">
        <f t="shared" si="382"/>
        <v>9</v>
      </c>
      <c r="E340" s="1">
        <f t="shared" si="382"/>
        <v>18</v>
      </c>
      <c r="F340" s="2">
        <f t="shared" si="359"/>
        <v>6</v>
      </c>
      <c r="H340" s="2">
        <v>10</v>
      </c>
      <c r="I340" s="2">
        <v>19</v>
      </c>
      <c r="J340" s="2">
        <v>0</v>
      </c>
      <c r="K340" s="2">
        <v>300.75900000000001</v>
      </c>
      <c r="M340" s="7">
        <f t="shared" si="365"/>
        <v>0</v>
      </c>
    </row>
    <row r="341" spans="1:13" x14ac:dyDescent="0.25">
      <c r="A341" s="1" t="str">
        <f t="shared" ref="A341:E341" si="383">A282</f>
        <v>P205</v>
      </c>
      <c r="B341" s="1">
        <f t="shared" si="383"/>
        <v>205</v>
      </c>
      <c r="C341" s="1">
        <f t="shared" si="383"/>
        <v>1455</v>
      </c>
      <c r="D341" s="1">
        <f t="shared" si="383"/>
        <v>9</v>
      </c>
      <c r="E341" s="1">
        <f t="shared" si="383"/>
        <v>17</v>
      </c>
      <c r="F341" s="2">
        <f t="shared" si="359"/>
        <v>6</v>
      </c>
      <c r="H341" s="2">
        <v>10</v>
      </c>
      <c r="I341" s="2">
        <v>18</v>
      </c>
      <c r="J341" s="2">
        <v>0</v>
      </c>
      <c r="K341" s="2">
        <v>301.17</v>
      </c>
      <c r="M341" s="7">
        <f t="shared" si="365"/>
        <v>0</v>
      </c>
    </row>
    <row r="342" spans="1:13" x14ac:dyDescent="0.25">
      <c r="A342" s="1" t="str">
        <f t="shared" ref="A342:E342" si="384">A283</f>
        <v>P205</v>
      </c>
      <c r="B342" s="1">
        <f t="shared" si="384"/>
        <v>205</v>
      </c>
      <c r="C342" s="1">
        <f t="shared" si="384"/>
        <v>1510</v>
      </c>
      <c r="D342" s="1">
        <f t="shared" si="384"/>
        <v>8</v>
      </c>
      <c r="E342" s="1">
        <f t="shared" si="384"/>
        <v>16</v>
      </c>
      <c r="F342" s="2">
        <f t="shared" si="359"/>
        <v>6</v>
      </c>
      <c r="H342" s="2">
        <v>9</v>
      </c>
      <c r="I342" s="2">
        <v>18</v>
      </c>
      <c r="J342" s="2">
        <v>0</v>
      </c>
      <c r="K342" s="2">
        <v>301.06200000000001</v>
      </c>
      <c r="M342" s="7">
        <f t="shared" si="365"/>
        <v>0</v>
      </c>
    </row>
    <row r="343" spans="1:13" x14ac:dyDescent="0.25">
      <c r="A343" s="1" t="str">
        <f t="shared" ref="A343:E343" si="385">A284</f>
        <v>P205</v>
      </c>
      <c r="B343" s="1">
        <f t="shared" si="385"/>
        <v>205</v>
      </c>
      <c r="C343" s="1">
        <f t="shared" si="385"/>
        <v>1650</v>
      </c>
      <c r="D343" s="1">
        <f t="shared" si="385"/>
        <v>8</v>
      </c>
      <c r="E343" s="1">
        <f t="shared" si="385"/>
        <v>15</v>
      </c>
      <c r="F343" s="2">
        <f t="shared" si="359"/>
        <v>6</v>
      </c>
      <c r="H343" s="2">
        <v>9</v>
      </c>
      <c r="I343" s="2">
        <v>18</v>
      </c>
      <c r="J343" s="2">
        <v>0</v>
      </c>
      <c r="K343" s="2">
        <v>301.16300000000001</v>
      </c>
      <c r="M343" s="7">
        <f t="shared" si="365"/>
        <v>0</v>
      </c>
    </row>
    <row r="344" spans="1:13" x14ac:dyDescent="0.25">
      <c r="A344" s="1" t="str">
        <f t="shared" ref="A344:E344" si="386">A285</f>
        <v>P205</v>
      </c>
      <c r="B344" s="1">
        <f t="shared" si="386"/>
        <v>205</v>
      </c>
      <c r="C344" s="1">
        <f t="shared" si="386"/>
        <v>1699</v>
      </c>
      <c r="D344" s="1">
        <f t="shared" si="386"/>
        <v>7</v>
      </c>
      <c r="E344" s="1">
        <f t="shared" si="386"/>
        <v>14</v>
      </c>
      <c r="F344" s="2">
        <f t="shared" si="359"/>
        <v>6</v>
      </c>
      <c r="H344" s="2">
        <v>8</v>
      </c>
      <c r="I344" s="2">
        <v>16</v>
      </c>
      <c r="J344" s="2">
        <v>0</v>
      </c>
      <c r="K344" s="2">
        <v>300.91500000000002</v>
      </c>
      <c r="M344" s="7">
        <f t="shared" si="365"/>
        <v>0</v>
      </c>
    </row>
    <row r="345" spans="1:13" x14ac:dyDescent="0.25">
      <c r="A345" s="1" t="str">
        <f t="shared" ref="A345:E345" si="387">A286</f>
        <v>P205</v>
      </c>
      <c r="B345" s="1">
        <f t="shared" si="387"/>
        <v>205</v>
      </c>
      <c r="C345" s="1">
        <f t="shared" si="387"/>
        <v>1888</v>
      </c>
      <c r="D345" s="1">
        <f t="shared" si="387"/>
        <v>7</v>
      </c>
      <c r="E345" s="1">
        <f t="shared" si="387"/>
        <v>13</v>
      </c>
      <c r="F345" s="2">
        <f t="shared" si="359"/>
        <v>6</v>
      </c>
      <c r="H345" s="2">
        <v>8</v>
      </c>
      <c r="I345" s="2">
        <v>16</v>
      </c>
      <c r="J345" s="2">
        <v>0</v>
      </c>
      <c r="K345" s="2">
        <v>300.94299999999998</v>
      </c>
      <c r="M345" s="7">
        <f t="shared" si="365"/>
        <v>0</v>
      </c>
    </row>
    <row r="346" spans="1:13" x14ac:dyDescent="0.25">
      <c r="A346" s="1" t="str">
        <f t="shared" ref="A346:E346" si="388">A287</f>
        <v>P205</v>
      </c>
      <c r="B346" s="1">
        <f t="shared" si="388"/>
        <v>205</v>
      </c>
      <c r="C346" s="1">
        <f t="shared" si="388"/>
        <v>1920</v>
      </c>
      <c r="D346" s="1">
        <f t="shared" si="388"/>
        <v>7</v>
      </c>
      <c r="E346" s="1">
        <f t="shared" si="388"/>
        <v>13</v>
      </c>
      <c r="F346" s="2">
        <f t="shared" si="359"/>
        <v>6</v>
      </c>
      <c r="H346" s="2">
        <v>8</v>
      </c>
      <c r="I346" s="2">
        <v>16</v>
      </c>
      <c r="J346" s="2">
        <v>0</v>
      </c>
      <c r="K346" s="2">
        <v>300.702</v>
      </c>
      <c r="M346" s="7">
        <f t="shared" si="365"/>
        <v>0</v>
      </c>
    </row>
    <row r="347" spans="1:13" x14ac:dyDescent="0.25">
      <c r="A347" s="1" t="str">
        <f t="shared" ref="A347:E347" si="389">A288</f>
        <v>P205</v>
      </c>
      <c r="B347" s="1">
        <f t="shared" si="389"/>
        <v>205</v>
      </c>
      <c r="C347" s="1">
        <f t="shared" si="389"/>
        <v>2077</v>
      </c>
      <c r="D347" s="1">
        <f t="shared" si="389"/>
        <v>6</v>
      </c>
      <c r="E347" s="1">
        <f t="shared" si="389"/>
        <v>12</v>
      </c>
      <c r="F347" s="2">
        <f t="shared" si="359"/>
        <v>6</v>
      </c>
      <c r="H347" s="2">
        <v>7</v>
      </c>
      <c r="I347" s="2">
        <v>14</v>
      </c>
      <c r="J347" s="2">
        <v>0</v>
      </c>
      <c r="K347" s="2">
        <v>301.04599999999999</v>
      </c>
      <c r="M347" s="7">
        <f t="shared" si="365"/>
        <v>0</v>
      </c>
    </row>
    <row r="348" spans="1:13" x14ac:dyDescent="0.25">
      <c r="A348" s="1" t="str">
        <f t="shared" ref="A348:E348" si="390">A289</f>
        <v>P205</v>
      </c>
      <c r="B348" s="1">
        <f t="shared" si="390"/>
        <v>205</v>
      </c>
      <c r="C348" s="1">
        <f t="shared" si="390"/>
        <v>2100</v>
      </c>
      <c r="D348" s="1">
        <f t="shared" si="390"/>
        <v>6</v>
      </c>
      <c r="E348" s="1">
        <f t="shared" si="390"/>
        <v>12</v>
      </c>
      <c r="F348" s="2">
        <f t="shared" si="359"/>
        <v>6</v>
      </c>
      <c r="H348" s="2">
        <v>8</v>
      </c>
      <c r="I348" s="2">
        <v>15</v>
      </c>
      <c r="J348" s="2">
        <v>0</v>
      </c>
      <c r="K348" s="2">
        <v>300.916</v>
      </c>
      <c r="M348" s="7">
        <f t="shared" si="365"/>
        <v>0</v>
      </c>
    </row>
    <row r="349" spans="1:13" x14ac:dyDescent="0.25">
      <c r="A349" s="1" t="str">
        <f t="shared" ref="A349:E349" si="391">A290</f>
        <v>P205</v>
      </c>
      <c r="B349" s="1">
        <f t="shared" si="391"/>
        <v>205</v>
      </c>
      <c r="C349" s="1">
        <f t="shared" si="391"/>
        <v>2266</v>
      </c>
      <c r="D349" s="1">
        <f t="shared" si="391"/>
        <v>6</v>
      </c>
      <c r="E349" s="1">
        <f t="shared" si="391"/>
        <v>11</v>
      </c>
      <c r="F349" s="2">
        <f t="shared" si="359"/>
        <v>6</v>
      </c>
      <c r="H349" s="2">
        <v>7</v>
      </c>
      <c r="I349" s="2">
        <v>14</v>
      </c>
      <c r="J349" s="2">
        <v>0</v>
      </c>
      <c r="K349" s="2">
        <v>300.76600000000002</v>
      </c>
      <c r="M349" s="7">
        <f t="shared" si="365"/>
        <v>0</v>
      </c>
    </row>
    <row r="350" spans="1:13" x14ac:dyDescent="0.25">
      <c r="A350" s="1" t="str">
        <f t="shared" ref="A350:E350" si="392">A291</f>
        <v>P205</v>
      </c>
      <c r="B350" s="1">
        <f t="shared" si="392"/>
        <v>205</v>
      </c>
      <c r="C350" s="1">
        <f t="shared" si="392"/>
        <v>2300</v>
      </c>
      <c r="D350" s="1">
        <f t="shared" si="392"/>
        <v>6</v>
      </c>
      <c r="E350" s="1">
        <f t="shared" si="392"/>
        <v>11</v>
      </c>
      <c r="F350" s="2">
        <f t="shared" si="359"/>
        <v>6</v>
      </c>
      <c r="H350" s="2">
        <v>7</v>
      </c>
      <c r="I350" s="2">
        <v>14</v>
      </c>
      <c r="J350" s="2">
        <v>0</v>
      </c>
      <c r="K350" s="2">
        <v>301.29000000000002</v>
      </c>
      <c r="M350" s="7">
        <f t="shared" si="365"/>
        <v>0</v>
      </c>
    </row>
    <row r="351" spans="1:13" x14ac:dyDescent="0.25">
      <c r="A351" s="1" t="str">
        <f t="shared" ref="A351:E351" si="393">A292</f>
        <v>P205</v>
      </c>
      <c r="B351" s="1">
        <f t="shared" si="393"/>
        <v>205</v>
      </c>
      <c r="C351" s="1">
        <f t="shared" si="393"/>
        <v>2454</v>
      </c>
      <c r="D351" s="1">
        <f t="shared" si="393"/>
        <v>5</v>
      </c>
      <c r="E351" s="1">
        <f t="shared" si="393"/>
        <v>10</v>
      </c>
      <c r="F351" s="2">
        <f t="shared" si="359"/>
        <v>6</v>
      </c>
      <c r="H351" s="2">
        <v>6</v>
      </c>
      <c r="I351" s="2">
        <v>12</v>
      </c>
      <c r="J351" s="2">
        <v>0</v>
      </c>
      <c r="K351" s="2">
        <v>301.11900000000003</v>
      </c>
      <c r="M351" s="7">
        <f t="shared" si="365"/>
        <v>0</v>
      </c>
    </row>
    <row r="352" spans="1:13" x14ac:dyDescent="0.25">
      <c r="A352" s="1" t="str">
        <f t="shared" ref="A352:E352" si="394">A293</f>
        <v>P205</v>
      </c>
      <c r="B352" s="1">
        <f t="shared" si="394"/>
        <v>205</v>
      </c>
      <c r="C352" s="1">
        <f t="shared" si="394"/>
        <v>2500</v>
      </c>
      <c r="D352" s="1">
        <f t="shared" si="394"/>
        <v>5</v>
      </c>
      <c r="E352" s="1">
        <f t="shared" si="394"/>
        <v>10</v>
      </c>
      <c r="F352" s="2">
        <f t="shared" si="359"/>
        <v>6</v>
      </c>
      <c r="H352" s="2">
        <v>6</v>
      </c>
      <c r="I352" s="2">
        <v>12</v>
      </c>
      <c r="J352" s="2">
        <v>0</v>
      </c>
      <c r="K352" s="2">
        <v>301.05900000000003</v>
      </c>
      <c r="M352" s="7">
        <f t="shared" si="365"/>
        <v>0</v>
      </c>
    </row>
    <row r="353" spans="1:13" x14ac:dyDescent="0.25">
      <c r="A353" s="1" t="str">
        <f t="shared" ref="A353:E353" si="395">A294</f>
        <v>P205</v>
      </c>
      <c r="B353" s="1">
        <f t="shared" si="395"/>
        <v>205</v>
      </c>
      <c r="C353" s="1">
        <f t="shared" si="395"/>
        <v>2643</v>
      </c>
      <c r="D353" s="1">
        <f t="shared" si="395"/>
        <v>5</v>
      </c>
      <c r="E353" s="1">
        <f t="shared" si="395"/>
        <v>9</v>
      </c>
      <c r="F353" s="2">
        <f t="shared" si="359"/>
        <v>6</v>
      </c>
      <c r="H353" s="2">
        <v>6</v>
      </c>
      <c r="I353" s="2">
        <v>12</v>
      </c>
      <c r="J353" s="2">
        <v>0</v>
      </c>
      <c r="K353" s="2">
        <v>300.83600000000001</v>
      </c>
      <c r="M353" s="7">
        <f t="shared" si="365"/>
        <v>0</v>
      </c>
    </row>
    <row r="354" spans="1:13" x14ac:dyDescent="0.25">
      <c r="A354" s="1" t="str">
        <f t="shared" ref="A354:E354" si="396">A295</f>
        <v>P205</v>
      </c>
      <c r="B354" s="1">
        <f t="shared" si="396"/>
        <v>205</v>
      </c>
      <c r="C354" s="1">
        <f t="shared" si="396"/>
        <v>2800</v>
      </c>
      <c r="D354" s="1">
        <f t="shared" si="396"/>
        <v>5</v>
      </c>
      <c r="E354" s="1">
        <f t="shared" si="396"/>
        <v>9</v>
      </c>
      <c r="F354" s="2">
        <f t="shared" si="359"/>
        <v>6</v>
      </c>
      <c r="H354" s="2">
        <v>6</v>
      </c>
      <c r="I354" s="2">
        <v>12</v>
      </c>
      <c r="J354" s="2">
        <v>0</v>
      </c>
      <c r="K354" s="2">
        <v>300.851</v>
      </c>
      <c r="M354" s="7">
        <f t="shared" si="365"/>
        <v>0</v>
      </c>
    </row>
    <row r="355" spans="1:13" x14ac:dyDescent="0.25">
      <c r="A355" s="1" t="str">
        <f t="shared" ref="A355:E355" si="397">A296</f>
        <v>P205</v>
      </c>
      <c r="B355" s="1">
        <f t="shared" si="397"/>
        <v>205</v>
      </c>
      <c r="C355" s="1">
        <f t="shared" si="397"/>
        <v>2832</v>
      </c>
      <c r="D355" s="1">
        <f t="shared" si="397"/>
        <v>5</v>
      </c>
      <c r="E355" s="1">
        <f t="shared" si="397"/>
        <v>9</v>
      </c>
      <c r="F355" s="2">
        <f t="shared" si="359"/>
        <v>6</v>
      </c>
      <c r="H355" s="2">
        <v>6</v>
      </c>
      <c r="I355" s="2">
        <v>12</v>
      </c>
      <c r="J355" s="2">
        <v>0</v>
      </c>
      <c r="K355" s="2">
        <v>300.76799999999997</v>
      </c>
      <c r="M355" s="7">
        <f t="shared" si="365"/>
        <v>0</v>
      </c>
    </row>
    <row r="356" spans="1:13" x14ac:dyDescent="0.25">
      <c r="A356" s="1" t="str">
        <f t="shared" ref="A356:E356" si="398">A297</f>
        <v>P9</v>
      </c>
      <c r="B356" s="1">
        <f t="shared" si="398"/>
        <v>9</v>
      </c>
      <c r="C356" s="1">
        <f t="shared" si="398"/>
        <v>3</v>
      </c>
      <c r="D356" s="1">
        <f t="shared" si="398"/>
        <v>3</v>
      </c>
      <c r="E356" s="1">
        <f t="shared" si="398"/>
        <v>6</v>
      </c>
      <c r="F356" s="2">
        <f t="shared" si="359"/>
        <v>7</v>
      </c>
      <c r="H356" s="2">
        <v>3</v>
      </c>
      <c r="I356" s="2">
        <v>6</v>
      </c>
      <c r="J356" s="2">
        <v>1</v>
      </c>
      <c r="K356" s="2">
        <v>3.0000000000000001E-3</v>
      </c>
      <c r="M356" s="7">
        <f t="shared" si="365"/>
        <v>1</v>
      </c>
    </row>
    <row r="357" spans="1:13" x14ac:dyDescent="0.25">
      <c r="A357" s="1" t="str">
        <f t="shared" ref="A357:E357" si="399">A298</f>
        <v>P9</v>
      </c>
      <c r="B357" s="1">
        <f t="shared" si="399"/>
        <v>9</v>
      </c>
      <c r="C357" s="1">
        <f t="shared" si="399"/>
        <v>4</v>
      </c>
      <c r="D357" s="1">
        <f t="shared" si="399"/>
        <v>3</v>
      </c>
      <c r="E357" s="1">
        <f t="shared" si="399"/>
        <v>5</v>
      </c>
      <c r="F357" s="2">
        <f t="shared" si="359"/>
        <v>7</v>
      </c>
      <c r="H357" s="2">
        <v>3</v>
      </c>
      <c r="I357" s="2">
        <v>5</v>
      </c>
      <c r="J357" s="2">
        <v>1</v>
      </c>
      <c r="K357" s="2">
        <v>2E-3</v>
      </c>
      <c r="M357" s="7">
        <f t="shared" si="365"/>
        <v>1</v>
      </c>
    </row>
    <row r="358" spans="1:13" x14ac:dyDescent="0.25">
      <c r="A358" s="1" t="str">
        <f t="shared" ref="A358:E358" si="400">A299</f>
        <v>P9</v>
      </c>
      <c r="B358" s="1">
        <f t="shared" si="400"/>
        <v>9</v>
      </c>
      <c r="C358" s="1">
        <f t="shared" si="400"/>
        <v>5</v>
      </c>
      <c r="D358" s="1">
        <f t="shared" si="400"/>
        <v>2</v>
      </c>
      <c r="E358" s="1">
        <f t="shared" si="400"/>
        <v>4</v>
      </c>
      <c r="F358" s="2">
        <f t="shared" si="359"/>
        <v>7</v>
      </c>
      <c r="H358" s="2">
        <v>2</v>
      </c>
      <c r="I358" s="2">
        <v>4</v>
      </c>
      <c r="J358" s="2">
        <v>1</v>
      </c>
      <c r="K358" s="2">
        <v>2E-3</v>
      </c>
      <c r="M358" s="7">
        <f t="shared" si="365"/>
        <v>1</v>
      </c>
    </row>
    <row r="359" spans="1:13" x14ac:dyDescent="0.25">
      <c r="A359" s="1" t="str">
        <f t="shared" ref="A359:E359" si="401">A300</f>
        <v>P9</v>
      </c>
      <c r="B359" s="1">
        <f t="shared" si="401"/>
        <v>9</v>
      </c>
      <c r="C359" s="1">
        <f t="shared" si="401"/>
        <v>6</v>
      </c>
      <c r="D359" s="1">
        <f t="shared" si="401"/>
        <v>2</v>
      </c>
      <c r="E359" s="1">
        <f t="shared" si="401"/>
        <v>3</v>
      </c>
      <c r="F359" s="2">
        <f t="shared" si="359"/>
        <v>7</v>
      </c>
      <c r="H359" s="2">
        <v>2</v>
      </c>
      <c r="I359" s="2">
        <v>3</v>
      </c>
      <c r="J359" s="2">
        <v>1</v>
      </c>
      <c r="K359" s="2">
        <v>2E-3</v>
      </c>
      <c r="M359" s="7">
        <f t="shared" si="365"/>
        <v>1</v>
      </c>
    </row>
    <row r="360" spans="1:13" x14ac:dyDescent="0.25">
      <c r="A360" s="1" t="str">
        <f t="shared" ref="A360:E360" si="402">A301</f>
        <v>P9</v>
      </c>
      <c r="B360" s="1">
        <f t="shared" si="402"/>
        <v>9</v>
      </c>
      <c r="C360" s="1">
        <f t="shared" si="402"/>
        <v>7</v>
      </c>
      <c r="D360" s="1">
        <f t="shared" si="402"/>
        <v>2</v>
      </c>
      <c r="E360" s="1">
        <f t="shared" si="402"/>
        <v>3</v>
      </c>
      <c r="F360" s="2">
        <f t="shared" si="359"/>
        <v>7</v>
      </c>
      <c r="H360" s="2">
        <v>2</v>
      </c>
      <c r="I360" s="2">
        <v>3</v>
      </c>
      <c r="J360" s="2">
        <v>1</v>
      </c>
      <c r="K360" s="2">
        <v>3.0000000000000001E-3</v>
      </c>
      <c r="M360" s="7">
        <f t="shared" si="365"/>
        <v>1</v>
      </c>
    </row>
    <row r="361" spans="1:13" x14ac:dyDescent="0.25">
      <c r="A361" s="1" t="str">
        <f t="shared" ref="A361:E361" si="403">A302</f>
        <v>P12</v>
      </c>
      <c r="B361" s="1">
        <f t="shared" si="403"/>
        <v>12</v>
      </c>
      <c r="C361" s="1">
        <f t="shared" si="403"/>
        <v>4</v>
      </c>
      <c r="D361" s="1">
        <f t="shared" si="403"/>
        <v>4</v>
      </c>
      <c r="E361" s="1">
        <f t="shared" si="403"/>
        <v>7</v>
      </c>
      <c r="F361" s="2">
        <f t="shared" si="359"/>
        <v>7</v>
      </c>
      <c r="H361" s="2">
        <v>4</v>
      </c>
      <c r="I361" s="2">
        <v>7</v>
      </c>
      <c r="J361" s="2">
        <v>1</v>
      </c>
      <c r="K361" s="2">
        <v>2E-3</v>
      </c>
      <c r="M361" s="7">
        <f t="shared" si="365"/>
        <v>1</v>
      </c>
    </row>
    <row r="362" spans="1:13" x14ac:dyDescent="0.25">
      <c r="A362" s="1" t="str">
        <f t="shared" ref="A362:E362" si="404">A303</f>
        <v>P12</v>
      </c>
      <c r="B362" s="1">
        <f t="shared" si="404"/>
        <v>12</v>
      </c>
      <c r="C362" s="1">
        <f t="shared" si="404"/>
        <v>5</v>
      </c>
      <c r="D362" s="1">
        <f t="shared" si="404"/>
        <v>3</v>
      </c>
      <c r="E362" s="1">
        <f t="shared" si="404"/>
        <v>6</v>
      </c>
      <c r="F362" s="2">
        <f t="shared" si="359"/>
        <v>7</v>
      </c>
      <c r="H362" s="2">
        <v>3</v>
      </c>
      <c r="I362" s="2">
        <v>6</v>
      </c>
      <c r="J362" s="2">
        <v>1</v>
      </c>
      <c r="K362" s="2">
        <v>0.70099999999999996</v>
      </c>
      <c r="M362" s="7">
        <f t="shared" si="365"/>
        <v>1</v>
      </c>
    </row>
    <row r="363" spans="1:13" x14ac:dyDescent="0.25">
      <c r="A363" s="1" t="str">
        <f t="shared" ref="A363:E363" si="405">A304</f>
        <v>P12</v>
      </c>
      <c r="B363" s="1">
        <f t="shared" si="405"/>
        <v>12</v>
      </c>
      <c r="C363" s="1">
        <f t="shared" si="405"/>
        <v>6</v>
      </c>
      <c r="D363" s="1">
        <f t="shared" si="405"/>
        <v>3</v>
      </c>
      <c r="E363" s="1">
        <f t="shared" si="405"/>
        <v>5</v>
      </c>
      <c r="F363" s="2">
        <f t="shared" si="359"/>
        <v>7</v>
      </c>
      <c r="H363" s="2">
        <v>3</v>
      </c>
      <c r="I363" s="2">
        <v>5</v>
      </c>
      <c r="J363" s="2">
        <v>1</v>
      </c>
      <c r="K363" s="2">
        <v>3.0000000000000001E-3</v>
      </c>
      <c r="M363" s="7">
        <f t="shared" si="365"/>
        <v>1</v>
      </c>
    </row>
    <row r="364" spans="1:13" x14ac:dyDescent="0.25">
      <c r="A364" s="1" t="str">
        <f t="shared" ref="A364:E364" si="406">A305</f>
        <v>P12</v>
      </c>
      <c r="B364" s="1">
        <f t="shared" si="406"/>
        <v>12</v>
      </c>
      <c r="C364" s="1">
        <f t="shared" si="406"/>
        <v>7</v>
      </c>
      <c r="D364" s="1">
        <f t="shared" si="406"/>
        <v>2</v>
      </c>
      <c r="E364" s="1">
        <f t="shared" si="406"/>
        <v>4</v>
      </c>
      <c r="F364" s="2">
        <f t="shared" si="359"/>
        <v>7</v>
      </c>
      <c r="H364" s="2">
        <v>2</v>
      </c>
      <c r="I364" s="2">
        <v>4</v>
      </c>
      <c r="J364" s="2">
        <v>1</v>
      </c>
      <c r="K364" s="2">
        <v>2E-3</v>
      </c>
      <c r="M364" s="7">
        <f t="shared" si="365"/>
        <v>1</v>
      </c>
    </row>
    <row r="365" spans="1:13" x14ac:dyDescent="0.25">
      <c r="A365" s="1" t="str">
        <f t="shared" ref="A365:E365" si="407">A306</f>
        <v>P12</v>
      </c>
      <c r="B365" s="1">
        <f t="shared" si="407"/>
        <v>12</v>
      </c>
      <c r="C365" s="1">
        <f t="shared" si="407"/>
        <v>8</v>
      </c>
      <c r="D365" s="1">
        <f t="shared" si="407"/>
        <v>2</v>
      </c>
      <c r="E365" s="1">
        <f t="shared" si="407"/>
        <v>4</v>
      </c>
      <c r="F365" s="2">
        <f t="shared" si="359"/>
        <v>7</v>
      </c>
      <c r="H365" s="2">
        <v>2</v>
      </c>
      <c r="I365" s="2">
        <v>4</v>
      </c>
      <c r="J365" s="2">
        <v>1</v>
      </c>
      <c r="K365" s="2">
        <v>6.0000000000000001E-3</v>
      </c>
      <c r="M365" s="7">
        <f t="shared" si="365"/>
        <v>1</v>
      </c>
    </row>
    <row r="366" spans="1:13" x14ac:dyDescent="0.25">
      <c r="A366" s="1" t="str">
        <f t="shared" ref="A366:E366" si="408">A307</f>
        <v>P12</v>
      </c>
      <c r="B366" s="1">
        <f t="shared" si="408"/>
        <v>12</v>
      </c>
      <c r="C366" s="1">
        <f t="shared" si="408"/>
        <v>9</v>
      </c>
      <c r="D366" s="1">
        <f t="shared" si="408"/>
        <v>2</v>
      </c>
      <c r="E366" s="1">
        <f t="shared" si="408"/>
        <v>3</v>
      </c>
      <c r="F366" s="2">
        <f t="shared" si="359"/>
        <v>7</v>
      </c>
      <c r="H366" s="2">
        <v>2</v>
      </c>
      <c r="I366" s="2">
        <v>3</v>
      </c>
      <c r="J366" s="2">
        <v>1</v>
      </c>
      <c r="K366" s="2">
        <v>7.0000000000000001E-3</v>
      </c>
      <c r="M366" s="7">
        <f t="shared" si="365"/>
        <v>1</v>
      </c>
    </row>
    <row r="367" spans="1:13" x14ac:dyDescent="0.25">
      <c r="A367" s="1" t="str">
        <f t="shared" ref="A367:E367" si="409">A308</f>
        <v>P16</v>
      </c>
      <c r="B367" s="1">
        <f t="shared" si="409"/>
        <v>16</v>
      </c>
      <c r="C367" s="1">
        <f t="shared" si="409"/>
        <v>15</v>
      </c>
      <c r="D367" s="1">
        <f t="shared" si="409"/>
        <v>4</v>
      </c>
      <c r="E367" s="1">
        <f t="shared" si="409"/>
        <v>6</v>
      </c>
      <c r="F367" s="2">
        <f t="shared" si="359"/>
        <v>7</v>
      </c>
      <c r="H367" s="2">
        <v>4</v>
      </c>
      <c r="I367" s="2">
        <v>6</v>
      </c>
      <c r="J367" s="2">
        <v>1</v>
      </c>
      <c r="K367" s="2">
        <v>0.54700000000000004</v>
      </c>
      <c r="M367" s="7">
        <f t="shared" si="365"/>
        <v>1</v>
      </c>
    </row>
    <row r="368" spans="1:13" x14ac:dyDescent="0.25">
      <c r="A368" s="1" t="str">
        <f t="shared" ref="A368:E368" si="410">A309</f>
        <v>P16</v>
      </c>
      <c r="B368" s="1">
        <f t="shared" si="410"/>
        <v>16</v>
      </c>
      <c r="C368" s="1">
        <f t="shared" si="410"/>
        <v>16</v>
      </c>
      <c r="D368" s="1">
        <f t="shared" si="410"/>
        <v>3</v>
      </c>
      <c r="E368" s="1">
        <f t="shared" si="410"/>
        <v>6</v>
      </c>
      <c r="F368" s="2">
        <f t="shared" si="359"/>
        <v>7</v>
      </c>
      <c r="H368" s="2">
        <v>3</v>
      </c>
      <c r="I368" s="2">
        <v>6</v>
      </c>
      <c r="J368" s="2">
        <v>1</v>
      </c>
      <c r="K368" s="2">
        <v>2E-3</v>
      </c>
      <c r="M368" s="7">
        <f t="shared" si="365"/>
        <v>1</v>
      </c>
    </row>
    <row r="369" spans="1:13" x14ac:dyDescent="0.25">
      <c r="A369" s="1" t="str">
        <f t="shared" ref="A369:E369" si="411">A310</f>
        <v>P16</v>
      </c>
      <c r="B369" s="1">
        <f t="shared" si="411"/>
        <v>16</v>
      </c>
      <c r="C369" s="1">
        <f t="shared" si="411"/>
        <v>18</v>
      </c>
      <c r="D369" s="1">
        <f t="shared" si="411"/>
        <v>3</v>
      </c>
      <c r="E369" s="1">
        <f t="shared" si="411"/>
        <v>6</v>
      </c>
      <c r="F369" s="2">
        <f t="shared" si="359"/>
        <v>7</v>
      </c>
      <c r="H369" s="2">
        <v>3</v>
      </c>
      <c r="I369" s="2">
        <v>6</v>
      </c>
      <c r="J369" s="2">
        <v>1</v>
      </c>
      <c r="K369" s="2">
        <v>0.72299999999999998</v>
      </c>
      <c r="M369" s="7">
        <f t="shared" si="365"/>
        <v>1</v>
      </c>
    </row>
    <row r="370" spans="1:13" x14ac:dyDescent="0.25">
      <c r="A370" s="1" t="str">
        <f t="shared" ref="A370:E370" si="412">A311</f>
        <v>P16</v>
      </c>
      <c r="B370" s="1">
        <f t="shared" si="412"/>
        <v>16</v>
      </c>
      <c r="C370" s="1">
        <f t="shared" si="412"/>
        <v>19</v>
      </c>
      <c r="D370" s="1">
        <f t="shared" si="412"/>
        <v>3</v>
      </c>
      <c r="E370" s="1">
        <f t="shared" si="412"/>
        <v>5</v>
      </c>
      <c r="F370" s="2">
        <f t="shared" si="359"/>
        <v>7</v>
      </c>
      <c r="H370" s="2">
        <v>3</v>
      </c>
      <c r="I370" s="2">
        <v>5</v>
      </c>
      <c r="J370" s="2">
        <v>1</v>
      </c>
      <c r="K370" s="2">
        <v>0.75</v>
      </c>
      <c r="M370" s="7">
        <f t="shared" si="365"/>
        <v>1</v>
      </c>
    </row>
    <row r="371" spans="1:13" x14ac:dyDescent="0.25">
      <c r="A371" s="1" t="str">
        <f t="shared" ref="A371:E371" si="413">A312</f>
        <v>P16</v>
      </c>
      <c r="B371" s="1">
        <f t="shared" si="413"/>
        <v>16</v>
      </c>
      <c r="C371" s="1">
        <f t="shared" si="413"/>
        <v>20</v>
      </c>
      <c r="D371" s="1">
        <f t="shared" si="413"/>
        <v>3</v>
      </c>
      <c r="E371" s="1">
        <f t="shared" si="413"/>
        <v>5</v>
      </c>
      <c r="F371" s="2">
        <f t="shared" si="359"/>
        <v>7</v>
      </c>
      <c r="H371" s="2">
        <v>3</v>
      </c>
      <c r="I371" s="2">
        <v>5</v>
      </c>
      <c r="J371" s="2">
        <v>1</v>
      </c>
      <c r="K371" s="2">
        <v>0.58599999999999997</v>
      </c>
      <c r="M371" s="7">
        <f t="shared" si="365"/>
        <v>1</v>
      </c>
    </row>
    <row r="372" spans="1:13" x14ac:dyDescent="0.25">
      <c r="A372" s="1" t="str">
        <f t="shared" ref="A372:E372" si="414">A313</f>
        <v>P16</v>
      </c>
      <c r="B372" s="1">
        <f t="shared" si="414"/>
        <v>16</v>
      </c>
      <c r="C372" s="1">
        <f t="shared" si="414"/>
        <v>21</v>
      </c>
      <c r="D372" s="1">
        <f t="shared" si="414"/>
        <v>3</v>
      </c>
      <c r="E372" s="1">
        <f t="shared" si="414"/>
        <v>5</v>
      </c>
      <c r="F372" s="2">
        <f t="shared" si="359"/>
        <v>7</v>
      </c>
      <c r="H372" s="2">
        <v>3</v>
      </c>
      <c r="I372" s="2">
        <v>5</v>
      </c>
      <c r="J372" s="2">
        <v>1</v>
      </c>
      <c r="K372" s="2">
        <v>0.72</v>
      </c>
      <c r="M372" s="7">
        <f t="shared" si="365"/>
        <v>1</v>
      </c>
    </row>
    <row r="373" spans="1:13" x14ac:dyDescent="0.25">
      <c r="A373" s="1" t="str">
        <f t="shared" ref="A373:E373" si="415">A314</f>
        <v>P16</v>
      </c>
      <c r="B373" s="1">
        <f t="shared" si="415"/>
        <v>16</v>
      </c>
      <c r="C373" s="1">
        <f t="shared" si="415"/>
        <v>22</v>
      </c>
      <c r="D373" s="1">
        <f t="shared" si="415"/>
        <v>2</v>
      </c>
      <c r="E373" s="1">
        <f t="shared" si="415"/>
        <v>4</v>
      </c>
      <c r="F373" s="2">
        <f t="shared" si="359"/>
        <v>7</v>
      </c>
      <c r="H373" s="2">
        <v>2</v>
      </c>
      <c r="I373" s="2">
        <v>4</v>
      </c>
      <c r="J373" s="2">
        <v>1</v>
      </c>
      <c r="K373" s="2">
        <v>0.01</v>
      </c>
      <c r="M373" s="7">
        <f t="shared" si="365"/>
        <v>1</v>
      </c>
    </row>
    <row r="374" spans="1:13" x14ac:dyDescent="0.25">
      <c r="A374" s="1" t="str">
        <f t="shared" ref="A374:E374" si="416">A315</f>
        <v>P24</v>
      </c>
      <c r="B374" s="1">
        <f t="shared" si="416"/>
        <v>24</v>
      </c>
      <c r="C374" s="1">
        <f t="shared" si="416"/>
        <v>18</v>
      </c>
      <c r="D374" s="1">
        <f t="shared" si="416"/>
        <v>4</v>
      </c>
      <c r="E374" s="1">
        <f t="shared" si="416"/>
        <v>8</v>
      </c>
      <c r="F374" s="2">
        <f t="shared" si="359"/>
        <v>7</v>
      </c>
      <c r="H374" s="2">
        <v>4</v>
      </c>
      <c r="I374" s="2">
        <v>8</v>
      </c>
      <c r="J374" s="2">
        <v>1</v>
      </c>
      <c r="K374" s="2">
        <v>4.5999999999999999E-2</v>
      </c>
      <c r="M374" s="7">
        <f t="shared" si="365"/>
        <v>1</v>
      </c>
    </row>
    <row r="375" spans="1:13" x14ac:dyDescent="0.25">
      <c r="A375" s="1" t="str">
        <f t="shared" ref="A375:E375" si="417">A316</f>
        <v>P24</v>
      </c>
      <c r="B375" s="1">
        <f t="shared" si="417"/>
        <v>24</v>
      </c>
      <c r="C375" s="1">
        <f t="shared" si="417"/>
        <v>20</v>
      </c>
      <c r="D375" s="1">
        <f t="shared" si="417"/>
        <v>4</v>
      </c>
      <c r="E375" s="1">
        <f t="shared" si="417"/>
        <v>7</v>
      </c>
      <c r="F375" s="2">
        <f t="shared" si="359"/>
        <v>7</v>
      </c>
      <c r="H375" s="2">
        <v>4</v>
      </c>
      <c r="I375" s="2">
        <v>7</v>
      </c>
      <c r="J375" s="2">
        <v>1</v>
      </c>
      <c r="K375" s="2">
        <v>4.8730000000000002</v>
      </c>
      <c r="M375" s="7">
        <f t="shared" si="365"/>
        <v>1</v>
      </c>
    </row>
    <row r="376" spans="1:13" x14ac:dyDescent="0.25">
      <c r="A376" s="1" t="str">
        <f t="shared" ref="A376:E376" si="418">A317</f>
        <v>P24</v>
      </c>
      <c r="B376" s="1">
        <f t="shared" si="418"/>
        <v>24</v>
      </c>
      <c r="C376" s="1">
        <f t="shared" si="418"/>
        <v>24</v>
      </c>
      <c r="D376" s="1">
        <f t="shared" si="418"/>
        <v>3</v>
      </c>
      <c r="E376" s="1">
        <f t="shared" si="418"/>
        <v>6</v>
      </c>
      <c r="F376" s="2">
        <f t="shared" si="359"/>
        <v>7</v>
      </c>
      <c r="H376" s="2">
        <v>3</v>
      </c>
      <c r="I376" s="2">
        <v>6</v>
      </c>
      <c r="J376" s="2">
        <v>1</v>
      </c>
      <c r="K376" s="2">
        <v>4.3999999999999997E-2</v>
      </c>
      <c r="M376" s="7">
        <f t="shared" si="365"/>
        <v>1</v>
      </c>
    </row>
    <row r="377" spans="1:13" x14ac:dyDescent="0.25">
      <c r="A377" s="1" t="str">
        <f t="shared" ref="A377:E377" si="419">A318</f>
        <v>P24</v>
      </c>
      <c r="B377" s="1">
        <f t="shared" si="419"/>
        <v>24</v>
      </c>
      <c r="C377" s="1">
        <f t="shared" si="419"/>
        <v>25</v>
      </c>
      <c r="D377" s="1">
        <f t="shared" si="419"/>
        <v>3</v>
      </c>
      <c r="E377" s="1">
        <f t="shared" si="419"/>
        <v>6</v>
      </c>
      <c r="F377" s="2">
        <f t="shared" si="359"/>
        <v>7</v>
      </c>
      <c r="H377" s="2">
        <v>3</v>
      </c>
      <c r="I377" s="2">
        <v>6</v>
      </c>
      <c r="J377" s="2">
        <v>1</v>
      </c>
      <c r="K377" s="2">
        <v>4.7E-2</v>
      </c>
      <c r="M377" s="7">
        <f t="shared" si="365"/>
        <v>1</v>
      </c>
    </row>
    <row r="378" spans="1:13" x14ac:dyDescent="0.25">
      <c r="A378" s="1" t="str">
        <f t="shared" ref="A378:E378" si="420">A319</f>
        <v>P24</v>
      </c>
      <c r="B378" s="1">
        <f t="shared" si="420"/>
        <v>24</v>
      </c>
      <c r="C378" s="1">
        <f t="shared" si="420"/>
        <v>30</v>
      </c>
      <c r="D378" s="1">
        <f t="shared" si="420"/>
        <v>3</v>
      </c>
      <c r="E378" s="1">
        <f t="shared" si="420"/>
        <v>5</v>
      </c>
      <c r="F378" s="2">
        <f t="shared" si="359"/>
        <v>7</v>
      </c>
      <c r="H378" s="2">
        <v>3</v>
      </c>
      <c r="I378" s="2">
        <v>5</v>
      </c>
      <c r="J378" s="2">
        <v>1</v>
      </c>
      <c r="K378" s="2">
        <v>4.8000000000000001E-2</v>
      </c>
      <c r="M378" s="7">
        <f t="shared" si="365"/>
        <v>1</v>
      </c>
    </row>
    <row r="379" spans="1:13" x14ac:dyDescent="0.25">
      <c r="A379" s="1" t="str">
        <f t="shared" ref="A379:E379" si="421">A320</f>
        <v>P24</v>
      </c>
      <c r="B379" s="1">
        <f t="shared" si="421"/>
        <v>24</v>
      </c>
      <c r="C379" s="1">
        <f t="shared" si="421"/>
        <v>35</v>
      </c>
      <c r="D379" s="1">
        <f t="shared" si="421"/>
        <v>2</v>
      </c>
      <c r="E379" s="1">
        <f t="shared" si="421"/>
        <v>4</v>
      </c>
      <c r="F379" s="2">
        <f t="shared" si="359"/>
        <v>7</v>
      </c>
      <c r="H379" s="2">
        <v>2</v>
      </c>
      <c r="I379" s="2">
        <v>4</v>
      </c>
      <c r="J379" s="2">
        <v>1</v>
      </c>
      <c r="K379" s="2">
        <v>5.3999999999999999E-2</v>
      </c>
      <c r="M379" s="7">
        <f t="shared" si="365"/>
        <v>1</v>
      </c>
    </row>
    <row r="380" spans="1:13" x14ac:dyDescent="0.25">
      <c r="A380" s="1" t="str">
        <f t="shared" ref="A380:E380" si="422">A321</f>
        <v>P24</v>
      </c>
      <c r="B380" s="1">
        <f t="shared" si="422"/>
        <v>24</v>
      </c>
      <c r="C380" s="1">
        <f t="shared" si="422"/>
        <v>40</v>
      </c>
      <c r="D380" s="1">
        <f t="shared" si="422"/>
        <v>2</v>
      </c>
      <c r="E380" s="1">
        <f t="shared" si="422"/>
        <v>4</v>
      </c>
      <c r="F380" s="2">
        <f t="shared" si="359"/>
        <v>7</v>
      </c>
      <c r="H380" s="2">
        <v>2</v>
      </c>
      <c r="I380" s="2">
        <v>4</v>
      </c>
      <c r="J380" s="2">
        <v>1</v>
      </c>
      <c r="K380" s="2">
        <v>5.2999999999999999E-2</v>
      </c>
      <c r="M380" s="7">
        <f t="shared" si="365"/>
        <v>1</v>
      </c>
    </row>
    <row r="381" spans="1:13" x14ac:dyDescent="0.25">
      <c r="A381" s="1" t="str">
        <f t="shared" ref="A381:E381" si="423">A322</f>
        <v>P65</v>
      </c>
      <c r="B381" s="1">
        <f t="shared" si="423"/>
        <v>65</v>
      </c>
      <c r="C381" s="1">
        <f t="shared" si="423"/>
        <v>326</v>
      </c>
      <c r="D381" s="1">
        <f t="shared" si="423"/>
        <v>8</v>
      </c>
      <c r="E381" s="1">
        <f t="shared" si="423"/>
        <v>16</v>
      </c>
      <c r="F381" s="2">
        <f t="shared" si="359"/>
        <v>7</v>
      </c>
      <c r="H381" s="2">
        <v>8</v>
      </c>
      <c r="I381" s="2">
        <v>16</v>
      </c>
      <c r="J381" s="2">
        <v>1</v>
      </c>
      <c r="K381" s="2">
        <v>0.16200000000000001</v>
      </c>
      <c r="M381" s="7">
        <f t="shared" si="365"/>
        <v>1</v>
      </c>
    </row>
    <row r="382" spans="1:13" x14ac:dyDescent="0.25">
      <c r="A382" s="1" t="str">
        <f t="shared" ref="A382:E382" si="424">A323</f>
        <v>P65</v>
      </c>
      <c r="B382" s="1">
        <f t="shared" si="424"/>
        <v>65</v>
      </c>
      <c r="C382" s="1">
        <f t="shared" si="424"/>
        <v>381</v>
      </c>
      <c r="D382" s="1">
        <f t="shared" si="424"/>
        <v>7</v>
      </c>
      <c r="E382" s="1">
        <f t="shared" si="424"/>
        <v>14</v>
      </c>
      <c r="F382" s="2">
        <f t="shared" ref="F382:F445" si="425">F323+1</f>
        <v>7</v>
      </c>
      <c r="H382" s="2">
        <v>7</v>
      </c>
      <c r="I382" s="2">
        <v>14</v>
      </c>
      <c r="J382" s="2">
        <v>1</v>
      </c>
      <c r="K382" s="2">
        <v>0.157</v>
      </c>
      <c r="M382" s="7">
        <f t="shared" si="365"/>
        <v>1</v>
      </c>
    </row>
    <row r="383" spans="1:13" x14ac:dyDescent="0.25">
      <c r="A383" s="1" t="str">
        <f t="shared" ref="A383:E383" si="426">A324</f>
        <v>P65</v>
      </c>
      <c r="B383" s="1">
        <f t="shared" si="426"/>
        <v>65</v>
      </c>
      <c r="C383" s="1">
        <f t="shared" si="426"/>
        <v>435</v>
      </c>
      <c r="D383" s="1">
        <f t="shared" si="426"/>
        <v>6</v>
      </c>
      <c r="E383" s="1">
        <f t="shared" si="426"/>
        <v>12</v>
      </c>
      <c r="F383" s="2">
        <f t="shared" si="425"/>
        <v>7</v>
      </c>
      <c r="H383" s="2">
        <v>6</v>
      </c>
      <c r="I383" s="2">
        <v>12</v>
      </c>
      <c r="J383" s="2">
        <v>1</v>
      </c>
      <c r="K383" s="2">
        <v>5.085</v>
      </c>
      <c r="M383" s="7">
        <f t="shared" si="365"/>
        <v>1</v>
      </c>
    </row>
    <row r="384" spans="1:13" x14ac:dyDescent="0.25">
      <c r="A384" s="1" t="str">
        <f t="shared" ref="A384:E384" si="427">A325</f>
        <v>P65</v>
      </c>
      <c r="B384" s="1">
        <f t="shared" si="427"/>
        <v>65</v>
      </c>
      <c r="C384" s="1">
        <f t="shared" si="427"/>
        <v>490</v>
      </c>
      <c r="D384" s="1">
        <f t="shared" si="427"/>
        <v>6</v>
      </c>
      <c r="E384" s="1">
        <f t="shared" si="427"/>
        <v>11</v>
      </c>
      <c r="F384" s="2">
        <f t="shared" si="425"/>
        <v>7</v>
      </c>
      <c r="H384" s="2">
        <v>6</v>
      </c>
      <c r="I384" s="2">
        <v>11</v>
      </c>
      <c r="J384" s="2">
        <v>1</v>
      </c>
      <c r="K384" s="2">
        <v>8.8059999999999992</v>
      </c>
      <c r="M384" s="7">
        <f t="shared" si="365"/>
        <v>1</v>
      </c>
    </row>
    <row r="385" spans="1:13" x14ac:dyDescent="0.25">
      <c r="A385" s="1" t="str">
        <f t="shared" ref="A385:E385" si="428">A326</f>
        <v>P65</v>
      </c>
      <c r="B385" s="1">
        <f t="shared" si="428"/>
        <v>65</v>
      </c>
      <c r="C385" s="1">
        <f t="shared" si="428"/>
        <v>512</v>
      </c>
      <c r="D385" s="1">
        <f t="shared" si="428"/>
        <v>5</v>
      </c>
      <c r="E385" s="1">
        <f t="shared" si="428"/>
        <v>10</v>
      </c>
      <c r="F385" s="2">
        <f t="shared" si="425"/>
        <v>7</v>
      </c>
      <c r="H385" s="2">
        <v>6</v>
      </c>
      <c r="I385" s="2">
        <v>10</v>
      </c>
      <c r="J385" s="2">
        <v>0</v>
      </c>
      <c r="K385" s="2">
        <v>300.12099999999998</v>
      </c>
      <c r="M385" s="7">
        <f t="shared" si="365"/>
        <v>0</v>
      </c>
    </row>
    <row r="386" spans="1:13" x14ac:dyDescent="0.25">
      <c r="A386" s="1" t="str">
        <f t="shared" ref="A386:E386" si="429">A327</f>
        <v>P65</v>
      </c>
      <c r="B386" s="1">
        <f t="shared" si="429"/>
        <v>65</v>
      </c>
      <c r="C386" s="1">
        <f t="shared" si="429"/>
        <v>544</v>
      </c>
      <c r="D386" s="1">
        <f t="shared" si="429"/>
        <v>5</v>
      </c>
      <c r="E386" s="1">
        <f t="shared" si="429"/>
        <v>10</v>
      </c>
      <c r="F386" s="2">
        <f t="shared" si="425"/>
        <v>7</v>
      </c>
      <c r="H386" s="2">
        <v>5</v>
      </c>
      <c r="I386" s="2">
        <v>10</v>
      </c>
      <c r="J386" s="2">
        <v>1</v>
      </c>
      <c r="K386" s="2">
        <v>11.884</v>
      </c>
      <c r="M386" s="7">
        <f t="shared" si="365"/>
        <v>1</v>
      </c>
    </row>
    <row r="387" spans="1:13" x14ac:dyDescent="0.25">
      <c r="A387" s="1" t="str">
        <f t="shared" ref="A387:E387" si="430">A328</f>
        <v>P148</v>
      </c>
      <c r="B387" s="1">
        <f t="shared" si="430"/>
        <v>148</v>
      </c>
      <c r="C387" s="1">
        <f t="shared" si="430"/>
        <v>204</v>
      </c>
      <c r="D387" s="1">
        <f t="shared" si="430"/>
        <v>13</v>
      </c>
      <c r="E387" s="1">
        <f t="shared" si="430"/>
        <v>26</v>
      </c>
      <c r="F387" s="2">
        <f t="shared" si="425"/>
        <v>7</v>
      </c>
      <c r="H387" s="2">
        <v>14</v>
      </c>
      <c r="I387" s="2">
        <v>26</v>
      </c>
      <c r="J387" s="2">
        <v>0</v>
      </c>
      <c r="K387" s="2">
        <v>301.41199999999998</v>
      </c>
      <c r="M387" s="7">
        <f t="shared" ref="M387:M450" si="431">IF(D387*100+E387=H387*100+I387,1,0)</f>
        <v>0</v>
      </c>
    </row>
    <row r="388" spans="1:13" x14ac:dyDescent="0.25">
      <c r="A388" s="1" t="str">
        <f t="shared" ref="A388:E388" si="432">A329</f>
        <v>P148</v>
      </c>
      <c r="B388" s="1">
        <f t="shared" si="432"/>
        <v>148</v>
      </c>
      <c r="C388" s="1">
        <f t="shared" si="432"/>
        <v>228</v>
      </c>
      <c r="D388" s="1">
        <f t="shared" si="432"/>
        <v>12</v>
      </c>
      <c r="E388" s="1">
        <f t="shared" si="432"/>
        <v>23</v>
      </c>
      <c r="F388" s="2">
        <f t="shared" si="425"/>
        <v>7</v>
      </c>
      <c r="H388" s="2">
        <v>12</v>
      </c>
      <c r="I388" s="2">
        <v>23</v>
      </c>
      <c r="J388" s="2">
        <v>1</v>
      </c>
      <c r="K388" s="2">
        <v>156.898</v>
      </c>
      <c r="M388" s="7">
        <f t="shared" si="431"/>
        <v>1</v>
      </c>
    </row>
    <row r="389" spans="1:13" x14ac:dyDescent="0.25">
      <c r="A389" s="1" t="str">
        <f t="shared" ref="A389:E389" si="433">A330</f>
        <v>P148</v>
      </c>
      <c r="B389" s="1">
        <f t="shared" si="433"/>
        <v>148</v>
      </c>
      <c r="C389" s="1">
        <f t="shared" si="433"/>
        <v>255</v>
      </c>
      <c r="D389" s="1">
        <f t="shared" si="433"/>
        <v>11</v>
      </c>
      <c r="E389" s="1">
        <f t="shared" si="433"/>
        <v>21</v>
      </c>
      <c r="F389" s="2">
        <f t="shared" si="425"/>
        <v>7</v>
      </c>
      <c r="H389" s="2">
        <v>11</v>
      </c>
      <c r="I389" s="2">
        <v>21</v>
      </c>
      <c r="J389" s="2">
        <v>1</v>
      </c>
      <c r="K389" s="2">
        <v>52.713000000000001</v>
      </c>
      <c r="M389" s="7">
        <f t="shared" si="431"/>
        <v>1</v>
      </c>
    </row>
    <row r="390" spans="1:13" x14ac:dyDescent="0.25">
      <c r="A390" s="1" t="str">
        <f t="shared" ref="A390:E390" si="434">A331</f>
        <v>P148</v>
      </c>
      <c r="B390" s="1">
        <f t="shared" si="434"/>
        <v>148</v>
      </c>
      <c r="C390" s="1">
        <f t="shared" si="434"/>
        <v>306</v>
      </c>
      <c r="D390" s="1">
        <f t="shared" si="434"/>
        <v>9</v>
      </c>
      <c r="E390" s="1">
        <f t="shared" si="434"/>
        <v>17</v>
      </c>
      <c r="F390" s="2">
        <f t="shared" si="425"/>
        <v>7</v>
      </c>
      <c r="H390" s="2">
        <v>9</v>
      </c>
      <c r="I390" s="2">
        <v>18</v>
      </c>
      <c r="J390" s="2">
        <v>0</v>
      </c>
      <c r="K390" s="2">
        <v>301.334</v>
      </c>
      <c r="M390" s="7">
        <f t="shared" si="431"/>
        <v>0</v>
      </c>
    </row>
    <row r="391" spans="1:13" x14ac:dyDescent="0.25">
      <c r="A391" s="1" t="str">
        <f t="shared" ref="A391:E391" si="435">A332</f>
        <v>P148</v>
      </c>
      <c r="B391" s="1">
        <f t="shared" si="435"/>
        <v>148</v>
      </c>
      <c r="C391" s="1">
        <f t="shared" si="435"/>
        <v>357</v>
      </c>
      <c r="D391" s="1">
        <f t="shared" si="435"/>
        <v>8</v>
      </c>
      <c r="E391" s="1">
        <f t="shared" si="435"/>
        <v>15</v>
      </c>
      <c r="F391" s="2">
        <f t="shared" si="425"/>
        <v>7</v>
      </c>
      <c r="H391" s="2">
        <v>8</v>
      </c>
      <c r="I391" s="2">
        <v>15</v>
      </c>
      <c r="J391" s="2">
        <v>1</v>
      </c>
      <c r="K391" s="2">
        <v>5.3419999999999996</v>
      </c>
      <c r="M391" s="7">
        <f t="shared" si="431"/>
        <v>1</v>
      </c>
    </row>
    <row r="392" spans="1:13" x14ac:dyDescent="0.25">
      <c r="A392" s="1" t="str">
        <f t="shared" ref="A392:E392" si="436">A333</f>
        <v>P148</v>
      </c>
      <c r="B392" s="1">
        <f t="shared" si="436"/>
        <v>148</v>
      </c>
      <c r="C392" s="1">
        <f t="shared" si="436"/>
        <v>378</v>
      </c>
      <c r="D392" s="1">
        <f t="shared" si="436"/>
        <v>7</v>
      </c>
      <c r="E392" s="1">
        <f t="shared" si="436"/>
        <v>14</v>
      </c>
      <c r="F392" s="2">
        <f t="shared" si="425"/>
        <v>7</v>
      </c>
      <c r="H392" s="2">
        <v>8</v>
      </c>
      <c r="I392" s="2">
        <v>14</v>
      </c>
      <c r="J392" s="2">
        <v>0</v>
      </c>
      <c r="K392" s="2">
        <v>301.22000000000003</v>
      </c>
      <c r="M392" s="7">
        <f t="shared" si="431"/>
        <v>0</v>
      </c>
    </row>
    <row r="393" spans="1:13" x14ac:dyDescent="0.25">
      <c r="A393" s="1" t="str">
        <f t="shared" ref="A393:E393" si="437">A334</f>
        <v>P148</v>
      </c>
      <c r="B393" s="1">
        <f t="shared" si="437"/>
        <v>148</v>
      </c>
      <c r="C393" s="1">
        <f t="shared" si="437"/>
        <v>408</v>
      </c>
      <c r="D393" s="1">
        <f t="shared" si="437"/>
        <v>7</v>
      </c>
      <c r="E393" s="1">
        <f t="shared" si="437"/>
        <v>13</v>
      </c>
      <c r="F393" s="2">
        <f t="shared" si="425"/>
        <v>7</v>
      </c>
      <c r="H393" s="2">
        <v>8</v>
      </c>
      <c r="I393" s="2">
        <v>13</v>
      </c>
      <c r="J393" s="2">
        <v>0</v>
      </c>
      <c r="K393" s="2">
        <v>301.36200000000002</v>
      </c>
      <c r="M393" s="7">
        <f t="shared" si="431"/>
        <v>0</v>
      </c>
    </row>
    <row r="394" spans="1:13" x14ac:dyDescent="0.25">
      <c r="A394" s="1" t="str">
        <f t="shared" ref="A394:E394" si="438">A335</f>
        <v>P148</v>
      </c>
      <c r="B394" s="1">
        <f t="shared" si="438"/>
        <v>148</v>
      </c>
      <c r="C394" s="1">
        <f t="shared" si="438"/>
        <v>454</v>
      </c>
      <c r="D394" s="1">
        <f t="shared" si="438"/>
        <v>6</v>
      </c>
      <c r="E394" s="1">
        <f t="shared" si="438"/>
        <v>12</v>
      </c>
      <c r="F394" s="2">
        <f t="shared" si="425"/>
        <v>7</v>
      </c>
      <c r="H394" s="2">
        <v>7</v>
      </c>
      <c r="I394" s="2">
        <v>12</v>
      </c>
      <c r="J394" s="2">
        <v>0</v>
      </c>
      <c r="K394" s="2">
        <v>300.11900000000003</v>
      </c>
      <c r="M394" s="7">
        <f t="shared" si="431"/>
        <v>0</v>
      </c>
    </row>
    <row r="395" spans="1:13" x14ac:dyDescent="0.25">
      <c r="A395" s="1" t="str">
        <f t="shared" ref="A395:E395" si="439">A336</f>
        <v>P148</v>
      </c>
      <c r="B395" s="1">
        <f t="shared" si="439"/>
        <v>148</v>
      </c>
      <c r="C395" s="1">
        <f t="shared" si="439"/>
        <v>459</v>
      </c>
      <c r="D395" s="1">
        <f t="shared" si="439"/>
        <v>6</v>
      </c>
      <c r="E395" s="1">
        <f t="shared" si="439"/>
        <v>12</v>
      </c>
      <c r="F395" s="2">
        <f t="shared" si="425"/>
        <v>7</v>
      </c>
      <c r="H395" s="2">
        <v>7</v>
      </c>
      <c r="I395" s="2">
        <v>12</v>
      </c>
      <c r="J395" s="2">
        <v>0</v>
      </c>
      <c r="K395" s="2">
        <v>301.68299999999999</v>
      </c>
      <c r="M395" s="7">
        <f t="shared" si="431"/>
        <v>0</v>
      </c>
    </row>
    <row r="396" spans="1:13" x14ac:dyDescent="0.25">
      <c r="A396" s="1" t="str">
        <f t="shared" ref="A396:E396" si="440">A337</f>
        <v>P148</v>
      </c>
      <c r="B396" s="1">
        <f t="shared" si="440"/>
        <v>148</v>
      </c>
      <c r="C396" s="1">
        <f t="shared" si="440"/>
        <v>510</v>
      </c>
      <c r="D396" s="1">
        <f t="shared" si="440"/>
        <v>6</v>
      </c>
      <c r="E396" s="1">
        <f t="shared" si="440"/>
        <v>11</v>
      </c>
      <c r="F396" s="2">
        <f t="shared" si="425"/>
        <v>7</v>
      </c>
      <c r="H396" s="2">
        <v>7</v>
      </c>
      <c r="I396" s="2">
        <v>11</v>
      </c>
      <c r="J396" s="2">
        <v>0</v>
      </c>
      <c r="K396" s="2">
        <v>300.89100000000002</v>
      </c>
      <c r="M396" s="7">
        <f t="shared" si="431"/>
        <v>0</v>
      </c>
    </row>
    <row r="397" spans="1:13" x14ac:dyDescent="0.25">
      <c r="A397" s="1" t="str">
        <f t="shared" ref="A397:E397" si="441">A338</f>
        <v>P205</v>
      </c>
      <c r="B397" s="1">
        <f t="shared" si="441"/>
        <v>205</v>
      </c>
      <c r="C397" s="1">
        <f t="shared" si="441"/>
        <v>1133</v>
      </c>
      <c r="D397" s="1">
        <f t="shared" si="441"/>
        <v>11</v>
      </c>
      <c r="E397" s="1">
        <f t="shared" si="441"/>
        <v>21</v>
      </c>
      <c r="F397" s="2">
        <f t="shared" si="425"/>
        <v>7</v>
      </c>
      <c r="H397" s="2">
        <v>11</v>
      </c>
      <c r="I397" s="2">
        <v>22</v>
      </c>
      <c r="J397" s="2">
        <v>0</v>
      </c>
      <c r="K397" s="2">
        <v>300.875</v>
      </c>
      <c r="M397" s="7">
        <f t="shared" si="431"/>
        <v>0</v>
      </c>
    </row>
    <row r="398" spans="1:13" x14ac:dyDescent="0.25">
      <c r="A398" s="1" t="str">
        <f t="shared" ref="A398:E398" si="442">A339</f>
        <v>P205</v>
      </c>
      <c r="B398" s="1">
        <f t="shared" si="442"/>
        <v>205</v>
      </c>
      <c r="C398" s="1">
        <f t="shared" si="442"/>
        <v>1275</v>
      </c>
      <c r="D398" s="1">
        <f t="shared" si="442"/>
        <v>10</v>
      </c>
      <c r="E398" s="1">
        <f t="shared" si="442"/>
        <v>19</v>
      </c>
      <c r="F398" s="2">
        <f t="shared" si="425"/>
        <v>7</v>
      </c>
      <c r="H398" s="2">
        <v>11</v>
      </c>
      <c r="I398" s="2">
        <v>22</v>
      </c>
      <c r="J398" s="2">
        <v>0</v>
      </c>
      <c r="K398" s="2">
        <v>301.11</v>
      </c>
      <c r="M398" s="7">
        <f t="shared" si="431"/>
        <v>0</v>
      </c>
    </row>
    <row r="399" spans="1:13" x14ac:dyDescent="0.25">
      <c r="A399" s="1" t="str">
        <f t="shared" ref="A399:E399" si="443">A340</f>
        <v>P205</v>
      </c>
      <c r="B399" s="1">
        <f t="shared" si="443"/>
        <v>205</v>
      </c>
      <c r="C399" s="1">
        <f t="shared" si="443"/>
        <v>1322</v>
      </c>
      <c r="D399" s="1">
        <f t="shared" si="443"/>
        <v>9</v>
      </c>
      <c r="E399" s="1">
        <f t="shared" si="443"/>
        <v>18</v>
      </c>
      <c r="F399" s="2">
        <f t="shared" si="425"/>
        <v>7</v>
      </c>
      <c r="H399" s="2">
        <v>10</v>
      </c>
      <c r="I399" s="2">
        <v>19</v>
      </c>
      <c r="J399" s="2">
        <v>0</v>
      </c>
      <c r="K399" s="2">
        <v>300.77199999999999</v>
      </c>
      <c r="M399" s="7">
        <f t="shared" si="431"/>
        <v>0</v>
      </c>
    </row>
    <row r="400" spans="1:13" x14ac:dyDescent="0.25">
      <c r="A400" s="1" t="str">
        <f t="shared" ref="A400:E400" si="444">A341</f>
        <v>P205</v>
      </c>
      <c r="B400" s="1">
        <f t="shared" si="444"/>
        <v>205</v>
      </c>
      <c r="C400" s="1">
        <f t="shared" si="444"/>
        <v>1455</v>
      </c>
      <c r="D400" s="1">
        <f t="shared" si="444"/>
        <v>9</v>
      </c>
      <c r="E400" s="1">
        <f t="shared" si="444"/>
        <v>17</v>
      </c>
      <c r="F400" s="2">
        <f t="shared" si="425"/>
        <v>7</v>
      </c>
      <c r="H400" s="2">
        <v>10</v>
      </c>
      <c r="I400" s="2">
        <v>18</v>
      </c>
      <c r="J400" s="2">
        <v>0</v>
      </c>
      <c r="K400" s="2">
        <v>300.93200000000002</v>
      </c>
      <c r="M400" s="7">
        <f t="shared" si="431"/>
        <v>0</v>
      </c>
    </row>
    <row r="401" spans="1:13" x14ac:dyDescent="0.25">
      <c r="A401" s="1" t="str">
        <f t="shared" ref="A401:E401" si="445">A342</f>
        <v>P205</v>
      </c>
      <c r="B401" s="1">
        <f t="shared" si="445"/>
        <v>205</v>
      </c>
      <c r="C401" s="1">
        <f t="shared" si="445"/>
        <v>1510</v>
      </c>
      <c r="D401" s="1">
        <f t="shared" si="445"/>
        <v>8</v>
      </c>
      <c r="E401" s="1">
        <f t="shared" si="445"/>
        <v>16</v>
      </c>
      <c r="F401" s="2">
        <f t="shared" si="425"/>
        <v>7</v>
      </c>
      <c r="H401" s="2">
        <v>9</v>
      </c>
      <c r="I401" s="2">
        <v>18</v>
      </c>
      <c r="J401" s="2">
        <v>0</v>
      </c>
      <c r="K401" s="2">
        <v>301.44299999999998</v>
      </c>
      <c r="M401" s="7">
        <f t="shared" si="431"/>
        <v>0</v>
      </c>
    </row>
    <row r="402" spans="1:13" x14ac:dyDescent="0.25">
      <c r="A402" s="1" t="str">
        <f t="shared" ref="A402:E402" si="446">A343</f>
        <v>P205</v>
      </c>
      <c r="B402" s="1">
        <f t="shared" si="446"/>
        <v>205</v>
      </c>
      <c r="C402" s="1">
        <f t="shared" si="446"/>
        <v>1650</v>
      </c>
      <c r="D402" s="1">
        <f t="shared" si="446"/>
        <v>8</v>
      </c>
      <c r="E402" s="1">
        <f t="shared" si="446"/>
        <v>15</v>
      </c>
      <c r="F402" s="2">
        <f t="shared" si="425"/>
        <v>7</v>
      </c>
      <c r="H402" s="2">
        <v>9</v>
      </c>
      <c r="I402" s="2">
        <v>18</v>
      </c>
      <c r="J402" s="2">
        <v>0</v>
      </c>
      <c r="K402" s="2">
        <v>301.36799999999999</v>
      </c>
      <c r="M402" s="7">
        <f t="shared" si="431"/>
        <v>0</v>
      </c>
    </row>
    <row r="403" spans="1:13" x14ac:dyDescent="0.25">
      <c r="A403" s="1" t="str">
        <f t="shared" ref="A403:E403" si="447">A344</f>
        <v>P205</v>
      </c>
      <c r="B403" s="1">
        <f t="shared" si="447"/>
        <v>205</v>
      </c>
      <c r="C403" s="1">
        <f t="shared" si="447"/>
        <v>1699</v>
      </c>
      <c r="D403" s="1">
        <f t="shared" si="447"/>
        <v>7</v>
      </c>
      <c r="E403" s="1">
        <f t="shared" si="447"/>
        <v>14</v>
      </c>
      <c r="F403" s="2">
        <f t="shared" si="425"/>
        <v>7</v>
      </c>
      <c r="H403" s="2">
        <v>8</v>
      </c>
      <c r="I403" s="2">
        <v>16</v>
      </c>
      <c r="J403" s="2">
        <v>0</v>
      </c>
      <c r="K403" s="2">
        <v>301.23</v>
      </c>
      <c r="M403" s="7">
        <f t="shared" si="431"/>
        <v>0</v>
      </c>
    </row>
    <row r="404" spans="1:13" x14ac:dyDescent="0.25">
      <c r="A404" s="1" t="str">
        <f t="shared" ref="A404:E404" si="448">A345</f>
        <v>P205</v>
      </c>
      <c r="B404" s="1">
        <f t="shared" si="448"/>
        <v>205</v>
      </c>
      <c r="C404" s="1">
        <f t="shared" si="448"/>
        <v>1888</v>
      </c>
      <c r="D404" s="1">
        <f t="shared" si="448"/>
        <v>7</v>
      </c>
      <c r="E404" s="1">
        <f t="shared" si="448"/>
        <v>13</v>
      </c>
      <c r="F404" s="2">
        <f t="shared" si="425"/>
        <v>7</v>
      </c>
      <c r="H404" s="2">
        <v>8</v>
      </c>
      <c r="I404" s="2">
        <v>16</v>
      </c>
      <c r="J404" s="2">
        <v>0</v>
      </c>
      <c r="K404" s="2">
        <v>300.85500000000002</v>
      </c>
      <c r="M404" s="7">
        <f t="shared" si="431"/>
        <v>0</v>
      </c>
    </row>
    <row r="405" spans="1:13" x14ac:dyDescent="0.25">
      <c r="A405" s="1" t="str">
        <f t="shared" ref="A405:E405" si="449">A346</f>
        <v>P205</v>
      </c>
      <c r="B405" s="1">
        <f t="shared" si="449"/>
        <v>205</v>
      </c>
      <c r="C405" s="1">
        <f t="shared" si="449"/>
        <v>1920</v>
      </c>
      <c r="D405" s="1">
        <f t="shared" si="449"/>
        <v>7</v>
      </c>
      <c r="E405" s="1">
        <f t="shared" si="449"/>
        <v>13</v>
      </c>
      <c r="F405" s="2">
        <f t="shared" si="425"/>
        <v>7</v>
      </c>
      <c r="H405" s="2">
        <v>8</v>
      </c>
      <c r="I405" s="2">
        <v>16</v>
      </c>
      <c r="J405" s="2">
        <v>0</v>
      </c>
      <c r="K405" s="2">
        <v>300.68900000000002</v>
      </c>
      <c r="M405" s="7">
        <f t="shared" si="431"/>
        <v>0</v>
      </c>
    </row>
    <row r="406" spans="1:13" x14ac:dyDescent="0.25">
      <c r="A406" s="1" t="str">
        <f t="shared" ref="A406:E406" si="450">A347</f>
        <v>P205</v>
      </c>
      <c r="B406" s="1">
        <f t="shared" si="450"/>
        <v>205</v>
      </c>
      <c r="C406" s="1">
        <f t="shared" si="450"/>
        <v>2077</v>
      </c>
      <c r="D406" s="1">
        <f t="shared" si="450"/>
        <v>6</v>
      </c>
      <c r="E406" s="1">
        <f t="shared" si="450"/>
        <v>12</v>
      </c>
      <c r="F406" s="2">
        <f t="shared" si="425"/>
        <v>7</v>
      </c>
      <c r="H406" s="2">
        <v>7</v>
      </c>
      <c r="I406" s="2">
        <v>14</v>
      </c>
      <c r="J406" s="2">
        <v>0</v>
      </c>
      <c r="K406" s="2">
        <v>301.18299999999999</v>
      </c>
      <c r="M406" s="7">
        <f t="shared" si="431"/>
        <v>0</v>
      </c>
    </row>
    <row r="407" spans="1:13" x14ac:dyDescent="0.25">
      <c r="A407" s="1" t="str">
        <f t="shared" ref="A407:E407" si="451">A348</f>
        <v>P205</v>
      </c>
      <c r="B407" s="1">
        <f t="shared" si="451"/>
        <v>205</v>
      </c>
      <c r="C407" s="1">
        <f t="shared" si="451"/>
        <v>2100</v>
      </c>
      <c r="D407" s="1">
        <f t="shared" si="451"/>
        <v>6</v>
      </c>
      <c r="E407" s="1">
        <f t="shared" si="451"/>
        <v>12</v>
      </c>
      <c r="F407" s="2">
        <f t="shared" si="425"/>
        <v>7</v>
      </c>
      <c r="H407" s="2">
        <v>8</v>
      </c>
      <c r="I407" s="2">
        <v>15</v>
      </c>
      <c r="J407" s="2">
        <v>0</v>
      </c>
      <c r="K407" s="2">
        <v>300.93200000000002</v>
      </c>
      <c r="M407" s="7">
        <f t="shared" si="431"/>
        <v>0</v>
      </c>
    </row>
    <row r="408" spans="1:13" x14ac:dyDescent="0.25">
      <c r="A408" s="1" t="str">
        <f t="shared" ref="A408:E408" si="452">A349</f>
        <v>P205</v>
      </c>
      <c r="B408" s="1">
        <f t="shared" si="452"/>
        <v>205</v>
      </c>
      <c r="C408" s="1">
        <f t="shared" si="452"/>
        <v>2266</v>
      </c>
      <c r="D408" s="1">
        <f t="shared" si="452"/>
        <v>6</v>
      </c>
      <c r="E408" s="1">
        <f t="shared" si="452"/>
        <v>11</v>
      </c>
      <c r="F408" s="2">
        <f t="shared" si="425"/>
        <v>7</v>
      </c>
      <c r="H408" s="2">
        <v>7</v>
      </c>
      <c r="I408" s="2">
        <v>14</v>
      </c>
      <c r="J408" s="2">
        <v>0</v>
      </c>
      <c r="K408" s="2">
        <v>300.61399999999998</v>
      </c>
      <c r="M408" s="7">
        <f t="shared" si="431"/>
        <v>0</v>
      </c>
    </row>
    <row r="409" spans="1:13" x14ac:dyDescent="0.25">
      <c r="A409" s="1" t="str">
        <f t="shared" ref="A409:E409" si="453">A350</f>
        <v>P205</v>
      </c>
      <c r="B409" s="1">
        <f t="shared" si="453"/>
        <v>205</v>
      </c>
      <c r="C409" s="1">
        <f t="shared" si="453"/>
        <v>2300</v>
      </c>
      <c r="D409" s="1">
        <f t="shared" si="453"/>
        <v>6</v>
      </c>
      <c r="E409" s="1">
        <f t="shared" si="453"/>
        <v>11</v>
      </c>
      <c r="F409" s="2">
        <f t="shared" si="425"/>
        <v>7</v>
      </c>
      <c r="H409" s="2">
        <v>7</v>
      </c>
      <c r="I409" s="2">
        <v>14</v>
      </c>
      <c r="J409" s="2">
        <v>0</v>
      </c>
      <c r="K409" s="2">
        <v>300.95699999999999</v>
      </c>
      <c r="M409" s="7">
        <f t="shared" si="431"/>
        <v>0</v>
      </c>
    </row>
    <row r="410" spans="1:13" x14ac:dyDescent="0.25">
      <c r="A410" s="1" t="str">
        <f t="shared" ref="A410:E410" si="454">A351</f>
        <v>P205</v>
      </c>
      <c r="B410" s="1">
        <f t="shared" si="454"/>
        <v>205</v>
      </c>
      <c r="C410" s="1">
        <f t="shared" si="454"/>
        <v>2454</v>
      </c>
      <c r="D410" s="1">
        <f t="shared" si="454"/>
        <v>5</v>
      </c>
      <c r="E410" s="1">
        <f t="shared" si="454"/>
        <v>10</v>
      </c>
      <c r="F410" s="2">
        <f t="shared" si="425"/>
        <v>7</v>
      </c>
      <c r="H410" s="2">
        <v>6</v>
      </c>
      <c r="I410" s="2">
        <v>12</v>
      </c>
      <c r="J410" s="2">
        <v>0</v>
      </c>
      <c r="K410" s="2">
        <v>301.32600000000002</v>
      </c>
      <c r="M410" s="7">
        <f t="shared" si="431"/>
        <v>0</v>
      </c>
    </row>
    <row r="411" spans="1:13" x14ac:dyDescent="0.25">
      <c r="A411" s="1" t="str">
        <f t="shared" ref="A411:E411" si="455">A352</f>
        <v>P205</v>
      </c>
      <c r="B411" s="1">
        <f t="shared" si="455"/>
        <v>205</v>
      </c>
      <c r="C411" s="1">
        <f t="shared" si="455"/>
        <v>2500</v>
      </c>
      <c r="D411" s="1">
        <f t="shared" si="455"/>
        <v>5</v>
      </c>
      <c r="E411" s="1">
        <f t="shared" si="455"/>
        <v>10</v>
      </c>
      <c r="F411" s="2">
        <f t="shared" si="425"/>
        <v>7</v>
      </c>
      <c r="H411" s="2">
        <v>6</v>
      </c>
      <c r="I411" s="2">
        <v>12</v>
      </c>
      <c r="J411" s="2">
        <v>0</v>
      </c>
      <c r="K411" s="2">
        <v>301.096</v>
      </c>
      <c r="M411" s="7">
        <f t="shared" si="431"/>
        <v>0</v>
      </c>
    </row>
    <row r="412" spans="1:13" x14ac:dyDescent="0.25">
      <c r="A412" s="1" t="str">
        <f t="shared" ref="A412:E412" si="456">A353</f>
        <v>P205</v>
      </c>
      <c r="B412" s="1">
        <f t="shared" si="456"/>
        <v>205</v>
      </c>
      <c r="C412" s="1">
        <f t="shared" si="456"/>
        <v>2643</v>
      </c>
      <c r="D412" s="1">
        <f t="shared" si="456"/>
        <v>5</v>
      </c>
      <c r="E412" s="1">
        <f t="shared" si="456"/>
        <v>9</v>
      </c>
      <c r="F412" s="2">
        <f t="shared" si="425"/>
        <v>7</v>
      </c>
      <c r="H412" s="2">
        <v>6</v>
      </c>
      <c r="I412" s="2">
        <v>12</v>
      </c>
      <c r="J412" s="2">
        <v>0</v>
      </c>
      <c r="K412" s="2">
        <v>300.89100000000002</v>
      </c>
      <c r="M412" s="7">
        <f t="shared" si="431"/>
        <v>0</v>
      </c>
    </row>
    <row r="413" spans="1:13" x14ac:dyDescent="0.25">
      <c r="A413" s="1" t="str">
        <f t="shared" ref="A413:E413" si="457">A354</f>
        <v>P205</v>
      </c>
      <c r="B413" s="1">
        <f t="shared" si="457"/>
        <v>205</v>
      </c>
      <c r="C413" s="1">
        <f t="shared" si="457"/>
        <v>2800</v>
      </c>
      <c r="D413" s="1">
        <f t="shared" si="457"/>
        <v>5</v>
      </c>
      <c r="E413" s="1">
        <f t="shared" si="457"/>
        <v>9</v>
      </c>
      <c r="F413" s="2">
        <f t="shared" si="425"/>
        <v>7</v>
      </c>
      <c r="H413" s="2">
        <v>6</v>
      </c>
      <c r="I413" s="2">
        <v>12</v>
      </c>
      <c r="J413" s="2">
        <v>0</v>
      </c>
      <c r="K413" s="2">
        <v>301.20100000000002</v>
      </c>
      <c r="M413" s="7">
        <f t="shared" si="431"/>
        <v>0</v>
      </c>
    </row>
    <row r="414" spans="1:13" x14ac:dyDescent="0.25">
      <c r="A414" s="1" t="str">
        <f t="shared" ref="A414:E414" si="458">A355</f>
        <v>P205</v>
      </c>
      <c r="B414" s="1">
        <f t="shared" si="458"/>
        <v>205</v>
      </c>
      <c r="C414" s="1">
        <f t="shared" si="458"/>
        <v>2832</v>
      </c>
      <c r="D414" s="1">
        <f t="shared" si="458"/>
        <v>5</v>
      </c>
      <c r="E414" s="1">
        <f t="shared" si="458"/>
        <v>9</v>
      </c>
      <c r="F414" s="2">
        <f t="shared" si="425"/>
        <v>7</v>
      </c>
      <c r="H414" s="2">
        <v>6</v>
      </c>
      <c r="I414" s="2">
        <v>12</v>
      </c>
      <c r="J414" s="2">
        <v>0</v>
      </c>
      <c r="K414" s="2">
        <v>300.52800000000002</v>
      </c>
      <c r="M414" s="7">
        <f t="shared" si="431"/>
        <v>0</v>
      </c>
    </row>
    <row r="415" spans="1:13" x14ac:dyDescent="0.25">
      <c r="A415" s="1" t="str">
        <f t="shared" ref="A415:E415" si="459">A356</f>
        <v>P9</v>
      </c>
      <c r="B415" s="1">
        <f t="shared" si="459"/>
        <v>9</v>
      </c>
      <c r="C415" s="1">
        <f t="shared" si="459"/>
        <v>3</v>
      </c>
      <c r="D415" s="1">
        <f t="shared" si="459"/>
        <v>3</v>
      </c>
      <c r="E415" s="1">
        <f t="shared" si="459"/>
        <v>6</v>
      </c>
      <c r="F415" s="2">
        <f t="shared" si="425"/>
        <v>8</v>
      </c>
      <c r="H415" s="2">
        <v>3</v>
      </c>
      <c r="I415" s="2">
        <v>6</v>
      </c>
      <c r="J415" s="2">
        <v>1</v>
      </c>
      <c r="K415" s="2">
        <v>3.0000000000000001E-3</v>
      </c>
      <c r="M415" s="7">
        <f t="shared" si="431"/>
        <v>1</v>
      </c>
    </row>
    <row r="416" spans="1:13" x14ac:dyDescent="0.25">
      <c r="A416" s="1" t="str">
        <f t="shared" ref="A416:E416" si="460">A357</f>
        <v>P9</v>
      </c>
      <c r="B416" s="1">
        <f t="shared" si="460"/>
        <v>9</v>
      </c>
      <c r="C416" s="1">
        <f t="shared" si="460"/>
        <v>4</v>
      </c>
      <c r="D416" s="1">
        <f t="shared" si="460"/>
        <v>3</v>
      </c>
      <c r="E416" s="1">
        <f t="shared" si="460"/>
        <v>5</v>
      </c>
      <c r="F416" s="2">
        <f t="shared" si="425"/>
        <v>8</v>
      </c>
      <c r="H416" s="2">
        <v>3</v>
      </c>
      <c r="I416" s="2">
        <v>5</v>
      </c>
      <c r="J416" s="2">
        <v>1</v>
      </c>
      <c r="K416" s="2">
        <v>1E-3</v>
      </c>
      <c r="M416" s="7">
        <f t="shared" si="431"/>
        <v>1</v>
      </c>
    </row>
    <row r="417" spans="1:13" x14ac:dyDescent="0.25">
      <c r="A417" s="1" t="str">
        <f t="shared" ref="A417:E417" si="461">A358</f>
        <v>P9</v>
      </c>
      <c r="B417" s="1">
        <f t="shared" si="461"/>
        <v>9</v>
      </c>
      <c r="C417" s="1">
        <f t="shared" si="461"/>
        <v>5</v>
      </c>
      <c r="D417" s="1">
        <f t="shared" si="461"/>
        <v>2</v>
      </c>
      <c r="E417" s="1">
        <f t="shared" si="461"/>
        <v>4</v>
      </c>
      <c r="F417" s="2">
        <f t="shared" si="425"/>
        <v>8</v>
      </c>
      <c r="H417" s="2">
        <v>2</v>
      </c>
      <c r="I417" s="2">
        <v>4</v>
      </c>
      <c r="J417" s="2">
        <v>1</v>
      </c>
      <c r="K417" s="2">
        <v>2E-3</v>
      </c>
      <c r="M417" s="7">
        <f t="shared" si="431"/>
        <v>1</v>
      </c>
    </row>
    <row r="418" spans="1:13" x14ac:dyDescent="0.25">
      <c r="A418" s="1" t="str">
        <f t="shared" ref="A418:E418" si="462">A359</f>
        <v>P9</v>
      </c>
      <c r="B418" s="1">
        <f t="shared" si="462"/>
        <v>9</v>
      </c>
      <c r="C418" s="1">
        <f t="shared" si="462"/>
        <v>6</v>
      </c>
      <c r="D418" s="1">
        <f t="shared" si="462"/>
        <v>2</v>
      </c>
      <c r="E418" s="1">
        <f t="shared" si="462"/>
        <v>3</v>
      </c>
      <c r="F418" s="2">
        <f t="shared" si="425"/>
        <v>8</v>
      </c>
      <c r="H418" s="2">
        <v>2</v>
      </c>
      <c r="I418" s="2">
        <v>3</v>
      </c>
      <c r="J418" s="2">
        <v>1</v>
      </c>
      <c r="K418" s="2">
        <v>2E-3</v>
      </c>
      <c r="M418" s="7">
        <f t="shared" si="431"/>
        <v>1</v>
      </c>
    </row>
    <row r="419" spans="1:13" x14ac:dyDescent="0.25">
      <c r="A419" s="1" t="str">
        <f t="shared" ref="A419:E419" si="463">A360</f>
        <v>P9</v>
      </c>
      <c r="B419" s="1">
        <f t="shared" si="463"/>
        <v>9</v>
      </c>
      <c r="C419" s="1">
        <f t="shared" si="463"/>
        <v>7</v>
      </c>
      <c r="D419" s="1">
        <f t="shared" si="463"/>
        <v>2</v>
      </c>
      <c r="E419" s="1">
        <f t="shared" si="463"/>
        <v>3</v>
      </c>
      <c r="F419" s="2">
        <f t="shared" si="425"/>
        <v>8</v>
      </c>
      <c r="H419" s="2">
        <v>2</v>
      </c>
      <c r="I419" s="2">
        <v>3</v>
      </c>
      <c r="J419" s="2">
        <v>1</v>
      </c>
      <c r="K419" s="2">
        <v>3.0000000000000001E-3</v>
      </c>
      <c r="M419" s="7">
        <f t="shared" si="431"/>
        <v>1</v>
      </c>
    </row>
    <row r="420" spans="1:13" x14ac:dyDescent="0.25">
      <c r="A420" s="1" t="str">
        <f t="shared" ref="A420:E420" si="464">A361</f>
        <v>P12</v>
      </c>
      <c r="B420" s="1">
        <f t="shared" si="464"/>
        <v>12</v>
      </c>
      <c r="C420" s="1">
        <f t="shared" si="464"/>
        <v>4</v>
      </c>
      <c r="D420" s="1">
        <f t="shared" si="464"/>
        <v>4</v>
      </c>
      <c r="E420" s="1">
        <f t="shared" si="464"/>
        <v>7</v>
      </c>
      <c r="F420" s="2">
        <f t="shared" si="425"/>
        <v>8</v>
      </c>
      <c r="H420" s="2">
        <v>4</v>
      </c>
      <c r="I420" s="2">
        <v>7</v>
      </c>
      <c r="J420" s="2">
        <v>1</v>
      </c>
      <c r="K420" s="2">
        <v>1E-3</v>
      </c>
      <c r="M420" s="7">
        <f t="shared" si="431"/>
        <v>1</v>
      </c>
    </row>
    <row r="421" spans="1:13" x14ac:dyDescent="0.25">
      <c r="A421" s="1" t="str">
        <f t="shared" ref="A421:E421" si="465">A362</f>
        <v>P12</v>
      </c>
      <c r="B421" s="1">
        <f t="shared" si="465"/>
        <v>12</v>
      </c>
      <c r="C421" s="1">
        <f t="shared" si="465"/>
        <v>5</v>
      </c>
      <c r="D421" s="1">
        <f t="shared" si="465"/>
        <v>3</v>
      </c>
      <c r="E421" s="1">
        <f t="shared" si="465"/>
        <v>6</v>
      </c>
      <c r="F421" s="2">
        <f t="shared" si="425"/>
        <v>8</v>
      </c>
      <c r="H421" s="2">
        <v>3</v>
      </c>
      <c r="I421" s="2">
        <v>6</v>
      </c>
      <c r="J421" s="2">
        <v>1</v>
      </c>
      <c r="K421" s="2">
        <v>0.54500000000000004</v>
      </c>
      <c r="M421" s="7">
        <f t="shared" si="431"/>
        <v>1</v>
      </c>
    </row>
    <row r="422" spans="1:13" x14ac:dyDescent="0.25">
      <c r="A422" s="1" t="str">
        <f t="shared" ref="A422:E422" si="466">A363</f>
        <v>P12</v>
      </c>
      <c r="B422" s="1">
        <f t="shared" si="466"/>
        <v>12</v>
      </c>
      <c r="C422" s="1">
        <f t="shared" si="466"/>
        <v>6</v>
      </c>
      <c r="D422" s="1">
        <f t="shared" si="466"/>
        <v>3</v>
      </c>
      <c r="E422" s="1">
        <f t="shared" si="466"/>
        <v>5</v>
      </c>
      <c r="F422" s="2">
        <f t="shared" si="425"/>
        <v>8</v>
      </c>
      <c r="H422" s="2">
        <v>3</v>
      </c>
      <c r="I422" s="2">
        <v>5</v>
      </c>
      <c r="J422" s="2">
        <v>1</v>
      </c>
      <c r="K422" s="2">
        <v>1E-3</v>
      </c>
      <c r="M422" s="7">
        <f t="shared" si="431"/>
        <v>1</v>
      </c>
    </row>
    <row r="423" spans="1:13" x14ac:dyDescent="0.25">
      <c r="A423" s="1" t="str">
        <f t="shared" ref="A423:E423" si="467">A364</f>
        <v>P12</v>
      </c>
      <c r="B423" s="1">
        <f t="shared" si="467"/>
        <v>12</v>
      </c>
      <c r="C423" s="1">
        <f t="shared" si="467"/>
        <v>7</v>
      </c>
      <c r="D423" s="1">
        <f t="shared" si="467"/>
        <v>2</v>
      </c>
      <c r="E423" s="1">
        <f t="shared" si="467"/>
        <v>4</v>
      </c>
      <c r="F423" s="2">
        <f t="shared" si="425"/>
        <v>8</v>
      </c>
      <c r="H423" s="2">
        <v>2</v>
      </c>
      <c r="I423" s="2">
        <v>4</v>
      </c>
      <c r="J423" s="2">
        <v>1</v>
      </c>
      <c r="K423" s="2">
        <v>2E-3</v>
      </c>
      <c r="M423" s="7">
        <f t="shared" si="431"/>
        <v>1</v>
      </c>
    </row>
    <row r="424" spans="1:13" x14ac:dyDescent="0.25">
      <c r="A424" s="1" t="str">
        <f t="shared" ref="A424:E424" si="468">A365</f>
        <v>P12</v>
      </c>
      <c r="B424" s="1">
        <f t="shared" si="468"/>
        <v>12</v>
      </c>
      <c r="C424" s="1">
        <f t="shared" si="468"/>
        <v>8</v>
      </c>
      <c r="D424" s="1">
        <f t="shared" si="468"/>
        <v>2</v>
      </c>
      <c r="E424" s="1">
        <f t="shared" si="468"/>
        <v>4</v>
      </c>
      <c r="F424" s="2">
        <f t="shared" si="425"/>
        <v>8</v>
      </c>
      <c r="H424" s="2">
        <v>2</v>
      </c>
      <c r="I424" s="2">
        <v>4</v>
      </c>
      <c r="J424" s="2">
        <v>1</v>
      </c>
      <c r="K424" s="2">
        <v>3.0000000000000001E-3</v>
      </c>
      <c r="M424" s="7">
        <f t="shared" si="431"/>
        <v>1</v>
      </c>
    </row>
    <row r="425" spans="1:13" x14ac:dyDescent="0.25">
      <c r="A425" s="1" t="str">
        <f t="shared" ref="A425:E425" si="469">A366</f>
        <v>P12</v>
      </c>
      <c r="B425" s="1">
        <f t="shared" si="469"/>
        <v>12</v>
      </c>
      <c r="C425" s="1">
        <f t="shared" si="469"/>
        <v>9</v>
      </c>
      <c r="D425" s="1">
        <f t="shared" si="469"/>
        <v>2</v>
      </c>
      <c r="E425" s="1">
        <f t="shared" si="469"/>
        <v>3</v>
      </c>
      <c r="F425" s="2">
        <f t="shared" si="425"/>
        <v>8</v>
      </c>
      <c r="H425" s="2">
        <v>2</v>
      </c>
      <c r="I425" s="2">
        <v>3</v>
      </c>
      <c r="J425" s="2">
        <v>1</v>
      </c>
      <c r="K425" s="2">
        <v>1.0999999999999999E-2</v>
      </c>
      <c r="M425" s="7">
        <f t="shared" si="431"/>
        <v>1</v>
      </c>
    </row>
    <row r="426" spans="1:13" x14ac:dyDescent="0.25">
      <c r="A426" s="1" t="str">
        <f t="shared" ref="A426:E426" si="470">A367</f>
        <v>P16</v>
      </c>
      <c r="B426" s="1">
        <f t="shared" si="470"/>
        <v>16</v>
      </c>
      <c r="C426" s="1">
        <f t="shared" si="470"/>
        <v>15</v>
      </c>
      <c r="D426" s="1">
        <f t="shared" si="470"/>
        <v>4</v>
      </c>
      <c r="E426" s="1">
        <f t="shared" si="470"/>
        <v>6</v>
      </c>
      <c r="F426" s="2">
        <f t="shared" si="425"/>
        <v>8</v>
      </c>
      <c r="H426" s="2">
        <v>4</v>
      </c>
      <c r="I426" s="2">
        <v>6</v>
      </c>
      <c r="J426" s="2">
        <v>1</v>
      </c>
      <c r="K426" s="2">
        <v>0.68200000000000005</v>
      </c>
      <c r="M426" s="7">
        <f t="shared" si="431"/>
        <v>1</v>
      </c>
    </row>
    <row r="427" spans="1:13" x14ac:dyDescent="0.25">
      <c r="A427" s="1" t="str">
        <f t="shared" ref="A427:E427" si="471">A368</f>
        <v>P16</v>
      </c>
      <c r="B427" s="1">
        <f t="shared" si="471"/>
        <v>16</v>
      </c>
      <c r="C427" s="1">
        <f t="shared" si="471"/>
        <v>16</v>
      </c>
      <c r="D427" s="1">
        <f t="shared" si="471"/>
        <v>3</v>
      </c>
      <c r="E427" s="1">
        <f t="shared" si="471"/>
        <v>6</v>
      </c>
      <c r="F427" s="2">
        <f t="shared" si="425"/>
        <v>8</v>
      </c>
      <c r="H427" s="2">
        <v>3</v>
      </c>
      <c r="I427" s="2">
        <v>6</v>
      </c>
      <c r="J427" s="2">
        <v>1</v>
      </c>
      <c r="K427" s="2">
        <v>3.0000000000000001E-3</v>
      </c>
      <c r="M427" s="7">
        <f t="shared" si="431"/>
        <v>1</v>
      </c>
    </row>
    <row r="428" spans="1:13" x14ac:dyDescent="0.25">
      <c r="A428" s="1" t="str">
        <f t="shared" ref="A428:E428" si="472">A369</f>
        <v>P16</v>
      </c>
      <c r="B428" s="1">
        <f t="shared" si="472"/>
        <v>16</v>
      </c>
      <c r="C428" s="1">
        <f t="shared" si="472"/>
        <v>18</v>
      </c>
      <c r="D428" s="1">
        <f t="shared" si="472"/>
        <v>3</v>
      </c>
      <c r="E428" s="1">
        <f t="shared" si="472"/>
        <v>6</v>
      </c>
      <c r="F428" s="2">
        <f t="shared" si="425"/>
        <v>8</v>
      </c>
      <c r="H428" s="2">
        <v>3</v>
      </c>
      <c r="I428" s="2">
        <v>6</v>
      </c>
      <c r="J428" s="2">
        <v>1</v>
      </c>
      <c r="K428" s="2">
        <v>0.70399999999999996</v>
      </c>
      <c r="M428" s="7">
        <f t="shared" si="431"/>
        <v>1</v>
      </c>
    </row>
    <row r="429" spans="1:13" x14ac:dyDescent="0.25">
      <c r="A429" s="1" t="str">
        <f t="shared" ref="A429:E429" si="473">A370</f>
        <v>P16</v>
      </c>
      <c r="B429" s="1">
        <f t="shared" si="473"/>
        <v>16</v>
      </c>
      <c r="C429" s="1">
        <f t="shared" si="473"/>
        <v>19</v>
      </c>
      <c r="D429" s="1">
        <f t="shared" si="473"/>
        <v>3</v>
      </c>
      <c r="E429" s="1">
        <f t="shared" si="473"/>
        <v>5</v>
      </c>
      <c r="F429" s="2">
        <f t="shared" si="425"/>
        <v>8</v>
      </c>
      <c r="H429" s="2">
        <v>3</v>
      </c>
      <c r="I429" s="2">
        <v>5</v>
      </c>
      <c r="J429" s="2">
        <v>1</v>
      </c>
      <c r="K429" s="2">
        <v>0.56100000000000005</v>
      </c>
      <c r="M429" s="7">
        <f t="shared" si="431"/>
        <v>1</v>
      </c>
    </row>
    <row r="430" spans="1:13" x14ac:dyDescent="0.25">
      <c r="A430" s="1" t="str">
        <f t="shared" ref="A430:E430" si="474">A371</f>
        <v>P16</v>
      </c>
      <c r="B430" s="1">
        <f t="shared" si="474"/>
        <v>16</v>
      </c>
      <c r="C430" s="1">
        <f t="shared" si="474"/>
        <v>20</v>
      </c>
      <c r="D430" s="1">
        <f t="shared" si="474"/>
        <v>3</v>
      </c>
      <c r="E430" s="1">
        <f t="shared" si="474"/>
        <v>5</v>
      </c>
      <c r="F430" s="2">
        <f t="shared" si="425"/>
        <v>8</v>
      </c>
      <c r="H430" s="2">
        <v>3</v>
      </c>
      <c r="I430" s="2">
        <v>5</v>
      </c>
      <c r="J430" s="2">
        <v>1</v>
      </c>
      <c r="K430" s="2">
        <v>0.66400000000000003</v>
      </c>
      <c r="M430" s="7">
        <f t="shared" si="431"/>
        <v>1</v>
      </c>
    </row>
    <row r="431" spans="1:13" x14ac:dyDescent="0.25">
      <c r="A431" s="1" t="str">
        <f t="shared" ref="A431:E431" si="475">A372</f>
        <v>P16</v>
      </c>
      <c r="B431" s="1">
        <f t="shared" si="475"/>
        <v>16</v>
      </c>
      <c r="C431" s="1">
        <f t="shared" si="475"/>
        <v>21</v>
      </c>
      <c r="D431" s="1">
        <f t="shared" si="475"/>
        <v>3</v>
      </c>
      <c r="E431" s="1">
        <f t="shared" si="475"/>
        <v>5</v>
      </c>
      <c r="F431" s="2">
        <f t="shared" si="425"/>
        <v>8</v>
      </c>
      <c r="H431" s="2">
        <v>3</v>
      </c>
      <c r="I431" s="2">
        <v>5</v>
      </c>
      <c r="J431" s="2">
        <v>1</v>
      </c>
      <c r="K431" s="2">
        <v>0.72899999999999998</v>
      </c>
      <c r="M431" s="7">
        <f t="shared" si="431"/>
        <v>1</v>
      </c>
    </row>
    <row r="432" spans="1:13" x14ac:dyDescent="0.25">
      <c r="A432" s="1" t="str">
        <f t="shared" ref="A432:E432" si="476">A373</f>
        <v>P16</v>
      </c>
      <c r="B432" s="1">
        <f t="shared" si="476"/>
        <v>16</v>
      </c>
      <c r="C432" s="1">
        <f t="shared" si="476"/>
        <v>22</v>
      </c>
      <c r="D432" s="1">
        <f t="shared" si="476"/>
        <v>2</v>
      </c>
      <c r="E432" s="1">
        <f t="shared" si="476"/>
        <v>4</v>
      </c>
      <c r="F432" s="2">
        <f t="shared" si="425"/>
        <v>8</v>
      </c>
      <c r="H432" s="2">
        <v>2</v>
      </c>
      <c r="I432" s="2">
        <v>4</v>
      </c>
      <c r="J432" s="2">
        <v>1</v>
      </c>
      <c r="K432" s="2">
        <v>1.0999999999999999E-2</v>
      </c>
      <c r="M432" s="7">
        <f t="shared" si="431"/>
        <v>1</v>
      </c>
    </row>
    <row r="433" spans="1:13" x14ac:dyDescent="0.25">
      <c r="A433" s="1" t="str">
        <f t="shared" ref="A433:E433" si="477">A374</f>
        <v>P24</v>
      </c>
      <c r="B433" s="1">
        <f t="shared" si="477"/>
        <v>24</v>
      </c>
      <c r="C433" s="1">
        <f t="shared" si="477"/>
        <v>18</v>
      </c>
      <c r="D433" s="1">
        <f t="shared" si="477"/>
        <v>4</v>
      </c>
      <c r="E433" s="1">
        <f t="shared" si="477"/>
        <v>8</v>
      </c>
      <c r="F433" s="2">
        <f t="shared" si="425"/>
        <v>8</v>
      </c>
      <c r="H433" s="2">
        <v>4</v>
      </c>
      <c r="I433" s="2">
        <v>8</v>
      </c>
      <c r="J433" s="2">
        <v>1</v>
      </c>
      <c r="K433" s="2">
        <v>4.1000000000000002E-2</v>
      </c>
      <c r="M433" s="7">
        <f t="shared" si="431"/>
        <v>1</v>
      </c>
    </row>
    <row r="434" spans="1:13" x14ac:dyDescent="0.25">
      <c r="A434" s="1" t="str">
        <f t="shared" ref="A434:E434" si="478">A375</f>
        <v>P24</v>
      </c>
      <c r="B434" s="1">
        <f t="shared" si="478"/>
        <v>24</v>
      </c>
      <c r="C434" s="1">
        <f t="shared" si="478"/>
        <v>20</v>
      </c>
      <c r="D434" s="1">
        <f t="shared" si="478"/>
        <v>4</v>
      </c>
      <c r="E434" s="1">
        <f t="shared" si="478"/>
        <v>7</v>
      </c>
      <c r="F434" s="2">
        <f t="shared" si="425"/>
        <v>8</v>
      </c>
      <c r="H434" s="2">
        <v>4</v>
      </c>
      <c r="I434" s="2">
        <v>7</v>
      </c>
      <c r="J434" s="2">
        <v>1</v>
      </c>
      <c r="K434" s="2">
        <v>4.4939999999999998</v>
      </c>
      <c r="M434" s="7">
        <f t="shared" si="431"/>
        <v>1</v>
      </c>
    </row>
    <row r="435" spans="1:13" x14ac:dyDescent="0.25">
      <c r="A435" s="1" t="str">
        <f t="shared" ref="A435:E435" si="479">A376</f>
        <v>P24</v>
      </c>
      <c r="B435" s="1">
        <f t="shared" si="479"/>
        <v>24</v>
      </c>
      <c r="C435" s="1">
        <f t="shared" si="479"/>
        <v>24</v>
      </c>
      <c r="D435" s="1">
        <f t="shared" si="479"/>
        <v>3</v>
      </c>
      <c r="E435" s="1">
        <f t="shared" si="479"/>
        <v>6</v>
      </c>
      <c r="F435" s="2">
        <f t="shared" si="425"/>
        <v>8</v>
      </c>
      <c r="H435" s="2">
        <v>3</v>
      </c>
      <c r="I435" s="2">
        <v>6</v>
      </c>
      <c r="J435" s="2">
        <v>1</v>
      </c>
      <c r="K435" s="2">
        <v>0.04</v>
      </c>
      <c r="M435" s="7">
        <f t="shared" si="431"/>
        <v>1</v>
      </c>
    </row>
    <row r="436" spans="1:13" x14ac:dyDescent="0.25">
      <c r="A436" s="1" t="str">
        <f t="shared" ref="A436:E436" si="480">A377</f>
        <v>P24</v>
      </c>
      <c r="B436" s="1">
        <f t="shared" si="480"/>
        <v>24</v>
      </c>
      <c r="C436" s="1">
        <f t="shared" si="480"/>
        <v>25</v>
      </c>
      <c r="D436" s="1">
        <f t="shared" si="480"/>
        <v>3</v>
      </c>
      <c r="E436" s="1">
        <f t="shared" si="480"/>
        <v>6</v>
      </c>
      <c r="F436" s="2">
        <f t="shared" si="425"/>
        <v>8</v>
      </c>
      <c r="H436" s="2">
        <v>3</v>
      </c>
      <c r="I436" s="2">
        <v>6</v>
      </c>
      <c r="J436" s="2">
        <v>1</v>
      </c>
      <c r="K436" s="2">
        <v>4.1000000000000002E-2</v>
      </c>
      <c r="M436" s="7">
        <f t="shared" si="431"/>
        <v>1</v>
      </c>
    </row>
    <row r="437" spans="1:13" x14ac:dyDescent="0.25">
      <c r="A437" s="1" t="str">
        <f t="shared" ref="A437:E437" si="481">A378</f>
        <v>P24</v>
      </c>
      <c r="B437" s="1">
        <f t="shared" si="481"/>
        <v>24</v>
      </c>
      <c r="C437" s="1">
        <f t="shared" si="481"/>
        <v>30</v>
      </c>
      <c r="D437" s="1">
        <f t="shared" si="481"/>
        <v>3</v>
      </c>
      <c r="E437" s="1">
        <f t="shared" si="481"/>
        <v>5</v>
      </c>
      <c r="F437" s="2">
        <f t="shared" si="425"/>
        <v>8</v>
      </c>
      <c r="H437" s="2">
        <v>3</v>
      </c>
      <c r="I437" s="2">
        <v>5</v>
      </c>
      <c r="J437" s="2">
        <v>1</v>
      </c>
      <c r="K437" s="2">
        <v>4.2999999999999997E-2</v>
      </c>
      <c r="M437" s="7">
        <f t="shared" si="431"/>
        <v>1</v>
      </c>
    </row>
    <row r="438" spans="1:13" x14ac:dyDescent="0.25">
      <c r="A438" s="1" t="str">
        <f t="shared" ref="A438:E438" si="482">A379</f>
        <v>P24</v>
      </c>
      <c r="B438" s="1">
        <f t="shared" si="482"/>
        <v>24</v>
      </c>
      <c r="C438" s="1">
        <f t="shared" si="482"/>
        <v>35</v>
      </c>
      <c r="D438" s="1">
        <f t="shared" si="482"/>
        <v>2</v>
      </c>
      <c r="E438" s="1">
        <f t="shared" si="482"/>
        <v>4</v>
      </c>
      <c r="F438" s="2">
        <f t="shared" si="425"/>
        <v>8</v>
      </c>
      <c r="H438" s="2">
        <v>2</v>
      </c>
      <c r="I438" s="2">
        <v>4</v>
      </c>
      <c r="J438" s="2">
        <v>1</v>
      </c>
      <c r="K438" s="2">
        <v>4.9000000000000002E-2</v>
      </c>
      <c r="M438" s="7">
        <f t="shared" si="431"/>
        <v>1</v>
      </c>
    </row>
    <row r="439" spans="1:13" x14ac:dyDescent="0.25">
      <c r="A439" s="1" t="str">
        <f t="shared" ref="A439:E439" si="483">A380</f>
        <v>P24</v>
      </c>
      <c r="B439" s="1">
        <f t="shared" si="483"/>
        <v>24</v>
      </c>
      <c r="C439" s="1">
        <f t="shared" si="483"/>
        <v>40</v>
      </c>
      <c r="D439" s="1">
        <f t="shared" si="483"/>
        <v>2</v>
      </c>
      <c r="E439" s="1">
        <f t="shared" si="483"/>
        <v>4</v>
      </c>
      <c r="F439" s="2">
        <f t="shared" si="425"/>
        <v>8</v>
      </c>
      <c r="H439" s="2">
        <v>2</v>
      </c>
      <c r="I439" s="2">
        <v>4</v>
      </c>
      <c r="J439" s="2">
        <v>1</v>
      </c>
      <c r="K439" s="2">
        <v>4.5999999999999999E-2</v>
      </c>
      <c r="M439" s="7">
        <f t="shared" si="431"/>
        <v>1</v>
      </c>
    </row>
    <row r="440" spans="1:13" x14ac:dyDescent="0.25">
      <c r="A440" s="1" t="str">
        <f t="shared" ref="A440:E440" si="484">A381</f>
        <v>P65</v>
      </c>
      <c r="B440" s="1">
        <f t="shared" si="484"/>
        <v>65</v>
      </c>
      <c r="C440" s="1">
        <f t="shared" si="484"/>
        <v>326</v>
      </c>
      <c r="D440" s="1">
        <f t="shared" si="484"/>
        <v>8</v>
      </c>
      <c r="E440" s="1">
        <f t="shared" si="484"/>
        <v>16</v>
      </c>
      <c r="F440" s="2">
        <f t="shared" si="425"/>
        <v>8</v>
      </c>
      <c r="H440" s="2">
        <v>8</v>
      </c>
      <c r="I440" s="2">
        <v>16</v>
      </c>
      <c r="J440" s="2">
        <v>1</v>
      </c>
      <c r="K440" s="2">
        <v>0.14899999999999999</v>
      </c>
      <c r="M440" s="7">
        <f t="shared" si="431"/>
        <v>1</v>
      </c>
    </row>
    <row r="441" spans="1:13" x14ac:dyDescent="0.25">
      <c r="A441" s="1" t="str">
        <f t="shared" ref="A441:E441" si="485">A382</f>
        <v>P65</v>
      </c>
      <c r="B441" s="1">
        <f t="shared" si="485"/>
        <v>65</v>
      </c>
      <c r="C441" s="1">
        <f t="shared" si="485"/>
        <v>381</v>
      </c>
      <c r="D441" s="1">
        <f t="shared" si="485"/>
        <v>7</v>
      </c>
      <c r="E441" s="1">
        <f t="shared" si="485"/>
        <v>14</v>
      </c>
      <c r="F441" s="2">
        <f t="shared" si="425"/>
        <v>8</v>
      </c>
      <c r="H441" s="2">
        <v>7</v>
      </c>
      <c r="I441" s="2">
        <v>14</v>
      </c>
      <c r="J441" s="2">
        <v>1</v>
      </c>
      <c r="K441" s="2">
        <v>0.14499999999999999</v>
      </c>
      <c r="M441" s="7">
        <f t="shared" si="431"/>
        <v>1</v>
      </c>
    </row>
    <row r="442" spans="1:13" x14ac:dyDescent="0.25">
      <c r="A442" s="1" t="str">
        <f t="shared" ref="A442:E442" si="486">A383</f>
        <v>P65</v>
      </c>
      <c r="B442" s="1">
        <f t="shared" si="486"/>
        <v>65</v>
      </c>
      <c r="C442" s="1">
        <f t="shared" si="486"/>
        <v>435</v>
      </c>
      <c r="D442" s="1">
        <f t="shared" si="486"/>
        <v>6</v>
      </c>
      <c r="E442" s="1">
        <f t="shared" si="486"/>
        <v>12</v>
      </c>
      <c r="F442" s="2">
        <f t="shared" si="425"/>
        <v>8</v>
      </c>
      <c r="H442" s="2">
        <v>6</v>
      </c>
      <c r="I442" s="2">
        <v>12</v>
      </c>
      <c r="J442" s="2">
        <v>1</v>
      </c>
      <c r="K442" s="2">
        <v>4.6500000000000004</v>
      </c>
      <c r="M442" s="7">
        <f t="shared" si="431"/>
        <v>1</v>
      </c>
    </row>
    <row r="443" spans="1:13" x14ac:dyDescent="0.25">
      <c r="A443" s="1" t="str">
        <f t="shared" ref="A443:E443" si="487">A384</f>
        <v>P65</v>
      </c>
      <c r="B443" s="1">
        <f t="shared" si="487"/>
        <v>65</v>
      </c>
      <c r="C443" s="1">
        <f t="shared" si="487"/>
        <v>490</v>
      </c>
      <c r="D443" s="1">
        <f t="shared" si="487"/>
        <v>6</v>
      </c>
      <c r="E443" s="1">
        <f t="shared" si="487"/>
        <v>11</v>
      </c>
      <c r="F443" s="2">
        <f t="shared" si="425"/>
        <v>8</v>
      </c>
      <c r="H443" s="2">
        <v>6</v>
      </c>
      <c r="I443" s="2">
        <v>11</v>
      </c>
      <c r="J443" s="2">
        <v>1</v>
      </c>
      <c r="K443" s="2">
        <v>8.093</v>
      </c>
      <c r="M443" s="7">
        <f t="shared" si="431"/>
        <v>1</v>
      </c>
    </row>
    <row r="444" spans="1:13" x14ac:dyDescent="0.25">
      <c r="A444" s="1" t="str">
        <f t="shared" ref="A444:E444" si="488">A385</f>
        <v>P65</v>
      </c>
      <c r="B444" s="1">
        <f t="shared" si="488"/>
        <v>65</v>
      </c>
      <c r="C444" s="1">
        <f t="shared" si="488"/>
        <v>512</v>
      </c>
      <c r="D444" s="1">
        <f t="shared" si="488"/>
        <v>5</v>
      </c>
      <c r="E444" s="1">
        <f t="shared" si="488"/>
        <v>10</v>
      </c>
      <c r="F444" s="2">
        <f t="shared" si="425"/>
        <v>8</v>
      </c>
      <c r="H444" s="2">
        <v>6</v>
      </c>
      <c r="I444" s="2">
        <v>10</v>
      </c>
      <c r="J444" s="2">
        <v>0</v>
      </c>
      <c r="K444" s="2">
        <v>300.09399999999999</v>
      </c>
      <c r="M444" s="7">
        <f t="shared" si="431"/>
        <v>0</v>
      </c>
    </row>
    <row r="445" spans="1:13" x14ac:dyDescent="0.25">
      <c r="A445" s="1" t="str">
        <f t="shared" ref="A445:E445" si="489">A386</f>
        <v>P65</v>
      </c>
      <c r="B445" s="1">
        <f t="shared" si="489"/>
        <v>65</v>
      </c>
      <c r="C445" s="1">
        <f t="shared" si="489"/>
        <v>544</v>
      </c>
      <c r="D445" s="1">
        <f t="shared" si="489"/>
        <v>5</v>
      </c>
      <c r="E445" s="1">
        <f t="shared" si="489"/>
        <v>10</v>
      </c>
      <c r="F445" s="2">
        <f t="shared" si="425"/>
        <v>8</v>
      </c>
      <c r="H445" s="2">
        <v>5</v>
      </c>
      <c r="I445" s="2">
        <v>10</v>
      </c>
      <c r="J445" s="2">
        <v>1</v>
      </c>
      <c r="K445" s="2">
        <v>10.9</v>
      </c>
      <c r="M445" s="7">
        <f t="shared" si="431"/>
        <v>1</v>
      </c>
    </row>
    <row r="446" spans="1:13" x14ac:dyDescent="0.25">
      <c r="A446" s="1" t="str">
        <f t="shared" ref="A446:E446" si="490">A387</f>
        <v>P148</v>
      </c>
      <c r="B446" s="1">
        <f t="shared" si="490"/>
        <v>148</v>
      </c>
      <c r="C446" s="1">
        <f t="shared" si="490"/>
        <v>204</v>
      </c>
      <c r="D446" s="1">
        <f t="shared" si="490"/>
        <v>13</v>
      </c>
      <c r="E446" s="1">
        <f t="shared" si="490"/>
        <v>26</v>
      </c>
      <c r="F446" s="2">
        <f t="shared" ref="F446:F509" si="491">F387+1</f>
        <v>8</v>
      </c>
      <c r="H446" s="2">
        <v>14</v>
      </c>
      <c r="I446" s="2">
        <v>26</v>
      </c>
      <c r="J446" s="2">
        <v>0</v>
      </c>
      <c r="K446" s="2">
        <v>300.76299999999998</v>
      </c>
      <c r="M446" s="7">
        <f t="shared" si="431"/>
        <v>0</v>
      </c>
    </row>
    <row r="447" spans="1:13" x14ac:dyDescent="0.25">
      <c r="A447" s="1" t="str">
        <f t="shared" ref="A447:E447" si="492">A388</f>
        <v>P148</v>
      </c>
      <c r="B447" s="1">
        <f t="shared" si="492"/>
        <v>148</v>
      </c>
      <c r="C447" s="1">
        <f t="shared" si="492"/>
        <v>228</v>
      </c>
      <c r="D447" s="1">
        <f t="shared" si="492"/>
        <v>12</v>
      </c>
      <c r="E447" s="1">
        <f t="shared" si="492"/>
        <v>23</v>
      </c>
      <c r="F447" s="2">
        <f t="shared" si="491"/>
        <v>8</v>
      </c>
      <c r="H447" s="2">
        <v>12</v>
      </c>
      <c r="I447" s="2">
        <v>23</v>
      </c>
      <c r="J447" s="2">
        <v>1</v>
      </c>
      <c r="K447" s="2">
        <v>145.31399999999999</v>
      </c>
      <c r="M447" s="7">
        <f t="shared" si="431"/>
        <v>1</v>
      </c>
    </row>
    <row r="448" spans="1:13" x14ac:dyDescent="0.25">
      <c r="A448" s="1" t="str">
        <f t="shared" ref="A448:E448" si="493">A389</f>
        <v>P148</v>
      </c>
      <c r="B448" s="1">
        <f t="shared" si="493"/>
        <v>148</v>
      </c>
      <c r="C448" s="1">
        <f t="shared" si="493"/>
        <v>255</v>
      </c>
      <c r="D448" s="1">
        <f t="shared" si="493"/>
        <v>11</v>
      </c>
      <c r="E448" s="1">
        <f t="shared" si="493"/>
        <v>21</v>
      </c>
      <c r="F448" s="2">
        <f t="shared" si="491"/>
        <v>8</v>
      </c>
      <c r="H448" s="2">
        <v>11</v>
      </c>
      <c r="I448" s="2">
        <v>21</v>
      </c>
      <c r="J448" s="2">
        <v>1</v>
      </c>
      <c r="K448" s="2">
        <v>50.406999999999996</v>
      </c>
      <c r="M448" s="7">
        <f t="shared" si="431"/>
        <v>1</v>
      </c>
    </row>
    <row r="449" spans="1:13" x14ac:dyDescent="0.25">
      <c r="A449" s="1" t="str">
        <f t="shared" ref="A449:E449" si="494">A390</f>
        <v>P148</v>
      </c>
      <c r="B449" s="1">
        <f t="shared" si="494"/>
        <v>148</v>
      </c>
      <c r="C449" s="1">
        <f t="shared" si="494"/>
        <v>306</v>
      </c>
      <c r="D449" s="1">
        <f t="shared" si="494"/>
        <v>9</v>
      </c>
      <c r="E449" s="1">
        <f t="shared" si="494"/>
        <v>17</v>
      </c>
      <c r="F449" s="2">
        <f t="shared" si="491"/>
        <v>8</v>
      </c>
      <c r="H449" s="2">
        <v>9</v>
      </c>
      <c r="I449" s="2">
        <v>18</v>
      </c>
      <c r="J449" s="2">
        <v>0</v>
      </c>
      <c r="K449" s="2">
        <v>301.09500000000003</v>
      </c>
      <c r="M449" s="7">
        <f t="shared" si="431"/>
        <v>0</v>
      </c>
    </row>
    <row r="450" spans="1:13" x14ac:dyDescent="0.25">
      <c r="A450" s="1" t="str">
        <f t="shared" ref="A450:E450" si="495">A391</f>
        <v>P148</v>
      </c>
      <c r="B450" s="1">
        <f t="shared" si="495"/>
        <v>148</v>
      </c>
      <c r="C450" s="1">
        <f t="shared" si="495"/>
        <v>357</v>
      </c>
      <c r="D450" s="1">
        <f t="shared" si="495"/>
        <v>8</v>
      </c>
      <c r="E450" s="1">
        <f t="shared" si="495"/>
        <v>15</v>
      </c>
      <c r="F450" s="2">
        <f t="shared" si="491"/>
        <v>8</v>
      </c>
      <c r="H450" s="2">
        <v>8</v>
      </c>
      <c r="I450" s="2">
        <v>15</v>
      </c>
      <c r="J450" s="2">
        <v>1</v>
      </c>
      <c r="K450" s="2">
        <v>5.6829999999999998</v>
      </c>
      <c r="M450" s="7">
        <f t="shared" si="431"/>
        <v>1</v>
      </c>
    </row>
    <row r="451" spans="1:13" x14ac:dyDescent="0.25">
      <c r="A451" s="1" t="str">
        <f t="shared" ref="A451:E451" si="496">A392</f>
        <v>P148</v>
      </c>
      <c r="B451" s="1">
        <f t="shared" si="496"/>
        <v>148</v>
      </c>
      <c r="C451" s="1">
        <f t="shared" si="496"/>
        <v>378</v>
      </c>
      <c r="D451" s="1">
        <f t="shared" si="496"/>
        <v>7</v>
      </c>
      <c r="E451" s="1">
        <f t="shared" si="496"/>
        <v>14</v>
      </c>
      <c r="F451" s="2">
        <f t="shared" si="491"/>
        <v>8</v>
      </c>
      <c r="H451" s="2">
        <v>8</v>
      </c>
      <c r="I451" s="2">
        <v>14</v>
      </c>
      <c r="J451" s="2">
        <v>0</v>
      </c>
      <c r="K451" s="2">
        <v>300.90899999999999</v>
      </c>
      <c r="M451" s="7">
        <f t="shared" ref="M451:M514" si="497">IF(D451*100+E451=H451*100+I451,1,0)</f>
        <v>0</v>
      </c>
    </row>
    <row r="452" spans="1:13" x14ac:dyDescent="0.25">
      <c r="A452" s="1" t="str">
        <f t="shared" ref="A452:E452" si="498">A393</f>
        <v>P148</v>
      </c>
      <c r="B452" s="1">
        <f t="shared" si="498"/>
        <v>148</v>
      </c>
      <c r="C452" s="1">
        <f t="shared" si="498"/>
        <v>408</v>
      </c>
      <c r="D452" s="1">
        <f t="shared" si="498"/>
        <v>7</v>
      </c>
      <c r="E452" s="1">
        <f t="shared" si="498"/>
        <v>13</v>
      </c>
      <c r="F452" s="2">
        <f t="shared" si="491"/>
        <v>8</v>
      </c>
      <c r="H452" s="2">
        <v>8</v>
      </c>
      <c r="I452" s="2">
        <v>13</v>
      </c>
      <c r="J452" s="2">
        <v>0</v>
      </c>
      <c r="K452" s="2">
        <v>301.04300000000001</v>
      </c>
      <c r="M452" s="7">
        <f t="shared" si="497"/>
        <v>0</v>
      </c>
    </row>
    <row r="453" spans="1:13" x14ac:dyDescent="0.25">
      <c r="A453" s="1" t="str">
        <f t="shared" ref="A453:E453" si="499">A394</f>
        <v>P148</v>
      </c>
      <c r="B453" s="1">
        <f t="shared" si="499"/>
        <v>148</v>
      </c>
      <c r="C453" s="1">
        <f t="shared" si="499"/>
        <v>454</v>
      </c>
      <c r="D453" s="1">
        <f t="shared" si="499"/>
        <v>6</v>
      </c>
      <c r="E453" s="1">
        <f t="shared" si="499"/>
        <v>12</v>
      </c>
      <c r="F453" s="2">
        <f t="shared" si="491"/>
        <v>8</v>
      </c>
      <c r="H453" s="2">
        <v>7</v>
      </c>
      <c r="I453" s="2">
        <v>12</v>
      </c>
      <c r="J453" s="2">
        <v>0</v>
      </c>
      <c r="K453" s="2">
        <v>300.11799999999999</v>
      </c>
      <c r="M453" s="7">
        <f t="shared" si="497"/>
        <v>0</v>
      </c>
    </row>
    <row r="454" spans="1:13" x14ac:dyDescent="0.25">
      <c r="A454" s="1" t="str">
        <f t="shared" ref="A454:E454" si="500">A395</f>
        <v>P148</v>
      </c>
      <c r="B454" s="1">
        <f t="shared" si="500"/>
        <v>148</v>
      </c>
      <c r="C454" s="1">
        <f t="shared" si="500"/>
        <v>459</v>
      </c>
      <c r="D454" s="1">
        <f t="shared" si="500"/>
        <v>6</v>
      </c>
      <c r="E454" s="1">
        <f t="shared" si="500"/>
        <v>12</v>
      </c>
      <c r="F454" s="2">
        <f t="shared" si="491"/>
        <v>8</v>
      </c>
      <c r="H454" s="2">
        <v>7</v>
      </c>
      <c r="I454" s="2">
        <v>12</v>
      </c>
      <c r="J454" s="2">
        <v>0</v>
      </c>
      <c r="K454" s="2">
        <v>301.08100000000002</v>
      </c>
      <c r="M454" s="7">
        <f t="shared" si="497"/>
        <v>0</v>
      </c>
    </row>
    <row r="455" spans="1:13" x14ac:dyDescent="0.25">
      <c r="A455" s="1" t="str">
        <f t="shared" ref="A455:E455" si="501">A396</f>
        <v>P148</v>
      </c>
      <c r="B455" s="1">
        <f t="shared" si="501"/>
        <v>148</v>
      </c>
      <c r="C455" s="1">
        <f t="shared" si="501"/>
        <v>510</v>
      </c>
      <c r="D455" s="1">
        <f t="shared" si="501"/>
        <v>6</v>
      </c>
      <c r="E455" s="1">
        <f t="shared" si="501"/>
        <v>11</v>
      </c>
      <c r="F455" s="2">
        <f t="shared" si="491"/>
        <v>8</v>
      </c>
      <c r="H455" s="2">
        <v>7</v>
      </c>
      <c r="I455" s="2">
        <v>11</v>
      </c>
      <c r="J455" s="2">
        <v>0</v>
      </c>
      <c r="K455" s="2">
        <v>300.94</v>
      </c>
      <c r="M455" s="7">
        <f t="shared" si="497"/>
        <v>0</v>
      </c>
    </row>
    <row r="456" spans="1:13" x14ac:dyDescent="0.25">
      <c r="A456" s="1" t="str">
        <f t="shared" ref="A456:E456" si="502">A397</f>
        <v>P205</v>
      </c>
      <c r="B456" s="1">
        <f t="shared" si="502"/>
        <v>205</v>
      </c>
      <c r="C456" s="1">
        <f t="shared" si="502"/>
        <v>1133</v>
      </c>
      <c r="D456" s="1">
        <f t="shared" si="502"/>
        <v>11</v>
      </c>
      <c r="E456" s="1">
        <f t="shared" si="502"/>
        <v>21</v>
      </c>
      <c r="F456" s="2">
        <f t="shared" si="491"/>
        <v>8</v>
      </c>
      <c r="H456" s="2">
        <v>11</v>
      </c>
      <c r="I456" s="2">
        <v>22</v>
      </c>
      <c r="J456" s="2">
        <v>0</v>
      </c>
      <c r="K456" s="2">
        <v>300.73700000000002</v>
      </c>
      <c r="M456" s="7">
        <f t="shared" si="497"/>
        <v>0</v>
      </c>
    </row>
    <row r="457" spans="1:13" x14ac:dyDescent="0.25">
      <c r="A457" s="1" t="str">
        <f t="shared" ref="A457:E457" si="503">A398</f>
        <v>P205</v>
      </c>
      <c r="B457" s="1">
        <f t="shared" si="503"/>
        <v>205</v>
      </c>
      <c r="C457" s="1">
        <f t="shared" si="503"/>
        <v>1275</v>
      </c>
      <c r="D457" s="1">
        <f t="shared" si="503"/>
        <v>10</v>
      </c>
      <c r="E457" s="1">
        <f t="shared" si="503"/>
        <v>19</v>
      </c>
      <c r="F457" s="2">
        <f t="shared" si="491"/>
        <v>8</v>
      </c>
      <c r="H457" s="2">
        <v>11</v>
      </c>
      <c r="I457" s="2">
        <v>22</v>
      </c>
      <c r="J457" s="2">
        <v>0</v>
      </c>
      <c r="K457" s="2">
        <v>300.90300000000002</v>
      </c>
      <c r="M457" s="7">
        <f t="shared" si="497"/>
        <v>0</v>
      </c>
    </row>
    <row r="458" spans="1:13" x14ac:dyDescent="0.25">
      <c r="A458" s="1" t="str">
        <f t="shared" ref="A458:E458" si="504">A399</f>
        <v>P205</v>
      </c>
      <c r="B458" s="1">
        <f t="shared" si="504"/>
        <v>205</v>
      </c>
      <c r="C458" s="1">
        <f t="shared" si="504"/>
        <v>1322</v>
      </c>
      <c r="D458" s="1">
        <f t="shared" si="504"/>
        <v>9</v>
      </c>
      <c r="E458" s="1">
        <f t="shared" si="504"/>
        <v>18</v>
      </c>
      <c r="F458" s="2">
        <f t="shared" si="491"/>
        <v>8</v>
      </c>
      <c r="H458" s="2">
        <v>10</v>
      </c>
      <c r="I458" s="2">
        <v>19</v>
      </c>
      <c r="J458" s="2">
        <v>0</v>
      </c>
      <c r="K458" s="2">
        <v>300.791</v>
      </c>
      <c r="M458" s="7">
        <f t="shared" si="497"/>
        <v>0</v>
      </c>
    </row>
    <row r="459" spans="1:13" x14ac:dyDescent="0.25">
      <c r="A459" s="1" t="str">
        <f t="shared" ref="A459:E459" si="505">A400</f>
        <v>P205</v>
      </c>
      <c r="B459" s="1">
        <f t="shared" si="505"/>
        <v>205</v>
      </c>
      <c r="C459" s="1">
        <f t="shared" si="505"/>
        <v>1455</v>
      </c>
      <c r="D459" s="1">
        <f t="shared" si="505"/>
        <v>9</v>
      </c>
      <c r="E459" s="1">
        <f t="shared" si="505"/>
        <v>17</v>
      </c>
      <c r="F459" s="2">
        <f t="shared" si="491"/>
        <v>8</v>
      </c>
      <c r="H459" s="2">
        <v>10</v>
      </c>
      <c r="I459" s="2">
        <v>18</v>
      </c>
      <c r="J459" s="2">
        <v>0</v>
      </c>
      <c r="K459" s="2">
        <v>300.86</v>
      </c>
      <c r="M459" s="7">
        <f t="shared" si="497"/>
        <v>0</v>
      </c>
    </row>
    <row r="460" spans="1:13" x14ac:dyDescent="0.25">
      <c r="A460" s="1" t="str">
        <f t="shared" ref="A460:E460" si="506">A401</f>
        <v>P205</v>
      </c>
      <c r="B460" s="1">
        <f t="shared" si="506"/>
        <v>205</v>
      </c>
      <c r="C460" s="1">
        <f t="shared" si="506"/>
        <v>1510</v>
      </c>
      <c r="D460" s="1">
        <f t="shared" si="506"/>
        <v>8</v>
      </c>
      <c r="E460" s="1">
        <f t="shared" si="506"/>
        <v>16</v>
      </c>
      <c r="F460" s="2">
        <f t="shared" si="491"/>
        <v>8</v>
      </c>
      <c r="H460" s="2">
        <v>9</v>
      </c>
      <c r="I460" s="2">
        <v>18</v>
      </c>
      <c r="J460" s="2">
        <v>0</v>
      </c>
      <c r="K460" s="2">
        <v>301.10199999999998</v>
      </c>
      <c r="M460" s="7">
        <f t="shared" si="497"/>
        <v>0</v>
      </c>
    </row>
    <row r="461" spans="1:13" x14ac:dyDescent="0.25">
      <c r="A461" s="1" t="str">
        <f t="shared" ref="A461:E461" si="507">A402</f>
        <v>P205</v>
      </c>
      <c r="B461" s="1">
        <f t="shared" si="507"/>
        <v>205</v>
      </c>
      <c r="C461" s="1">
        <f t="shared" si="507"/>
        <v>1650</v>
      </c>
      <c r="D461" s="1">
        <f t="shared" si="507"/>
        <v>8</v>
      </c>
      <c r="E461" s="1">
        <f t="shared" si="507"/>
        <v>15</v>
      </c>
      <c r="F461" s="2">
        <f t="shared" si="491"/>
        <v>8</v>
      </c>
      <c r="H461" s="2">
        <v>9</v>
      </c>
      <c r="I461" s="2">
        <v>18</v>
      </c>
      <c r="J461" s="2">
        <v>0</v>
      </c>
      <c r="K461" s="2">
        <v>301.14800000000002</v>
      </c>
      <c r="M461" s="7">
        <f t="shared" si="497"/>
        <v>0</v>
      </c>
    </row>
    <row r="462" spans="1:13" x14ac:dyDescent="0.25">
      <c r="A462" s="1" t="str">
        <f t="shared" ref="A462:E462" si="508">A403</f>
        <v>P205</v>
      </c>
      <c r="B462" s="1">
        <f t="shared" si="508"/>
        <v>205</v>
      </c>
      <c r="C462" s="1">
        <f t="shared" si="508"/>
        <v>1699</v>
      </c>
      <c r="D462" s="1">
        <f t="shared" si="508"/>
        <v>7</v>
      </c>
      <c r="E462" s="1">
        <f t="shared" si="508"/>
        <v>14</v>
      </c>
      <c r="F462" s="2">
        <f t="shared" si="491"/>
        <v>8</v>
      </c>
      <c r="H462" s="2">
        <v>8</v>
      </c>
      <c r="I462" s="2">
        <v>16</v>
      </c>
      <c r="J462" s="2">
        <v>0</v>
      </c>
      <c r="K462" s="2">
        <v>300.87099999999998</v>
      </c>
      <c r="M462" s="7">
        <f t="shared" si="497"/>
        <v>0</v>
      </c>
    </row>
    <row r="463" spans="1:13" x14ac:dyDescent="0.25">
      <c r="A463" s="1" t="str">
        <f t="shared" ref="A463:E463" si="509">A404</f>
        <v>P205</v>
      </c>
      <c r="B463" s="1">
        <f t="shared" si="509"/>
        <v>205</v>
      </c>
      <c r="C463" s="1">
        <f t="shared" si="509"/>
        <v>1888</v>
      </c>
      <c r="D463" s="1">
        <f t="shared" si="509"/>
        <v>7</v>
      </c>
      <c r="E463" s="1">
        <f t="shared" si="509"/>
        <v>13</v>
      </c>
      <c r="F463" s="2">
        <f t="shared" si="491"/>
        <v>8</v>
      </c>
      <c r="H463" s="2">
        <v>8</v>
      </c>
      <c r="I463" s="2">
        <v>16</v>
      </c>
      <c r="J463" s="2">
        <v>0</v>
      </c>
      <c r="K463" s="2">
        <v>301.06700000000001</v>
      </c>
      <c r="M463" s="7">
        <f t="shared" si="497"/>
        <v>0</v>
      </c>
    </row>
    <row r="464" spans="1:13" x14ac:dyDescent="0.25">
      <c r="A464" s="1" t="str">
        <f t="shared" ref="A464:E464" si="510">A405</f>
        <v>P205</v>
      </c>
      <c r="B464" s="1">
        <f t="shared" si="510"/>
        <v>205</v>
      </c>
      <c r="C464" s="1">
        <f t="shared" si="510"/>
        <v>1920</v>
      </c>
      <c r="D464" s="1">
        <f t="shared" si="510"/>
        <v>7</v>
      </c>
      <c r="E464" s="1">
        <f t="shared" si="510"/>
        <v>13</v>
      </c>
      <c r="F464" s="2">
        <f t="shared" si="491"/>
        <v>8</v>
      </c>
      <c r="H464" s="2">
        <v>8</v>
      </c>
      <c r="I464" s="2">
        <v>16</v>
      </c>
      <c r="J464" s="2">
        <v>0</v>
      </c>
      <c r="K464" s="2">
        <v>300.88400000000001</v>
      </c>
      <c r="M464" s="7">
        <f t="shared" si="497"/>
        <v>0</v>
      </c>
    </row>
    <row r="465" spans="1:13" x14ac:dyDescent="0.25">
      <c r="A465" s="1" t="str">
        <f t="shared" ref="A465:E465" si="511">A406</f>
        <v>P205</v>
      </c>
      <c r="B465" s="1">
        <f t="shared" si="511"/>
        <v>205</v>
      </c>
      <c r="C465" s="1">
        <f t="shared" si="511"/>
        <v>2077</v>
      </c>
      <c r="D465" s="1">
        <f t="shared" si="511"/>
        <v>6</v>
      </c>
      <c r="E465" s="1">
        <f t="shared" si="511"/>
        <v>12</v>
      </c>
      <c r="F465" s="2">
        <f t="shared" si="491"/>
        <v>8</v>
      </c>
      <c r="H465" s="2">
        <v>7</v>
      </c>
      <c r="I465" s="2">
        <v>14</v>
      </c>
      <c r="J465" s="2">
        <v>0</v>
      </c>
      <c r="K465" s="2">
        <v>300.82</v>
      </c>
      <c r="M465" s="7">
        <f t="shared" si="497"/>
        <v>0</v>
      </c>
    </row>
    <row r="466" spans="1:13" x14ac:dyDescent="0.25">
      <c r="A466" s="1" t="str">
        <f t="shared" ref="A466:E466" si="512">A407</f>
        <v>P205</v>
      </c>
      <c r="B466" s="1">
        <f t="shared" si="512"/>
        <v>205</v>
      </c>
      <c r="C466" s="1">
        <f t="shared" si="512"/>
        <v>2100</v>
      </c>
      <c r="D466" s="1">
        <f t="shared" si="512"/>
        <v>6</v>
      </c>
      <c r="E466" s="1">
        <f t="shared" si="512"/>
        <v>12</v>
      </c>
      <c r="F466" s="2">
        <f t="shared" si="491"/>
        <v>8</v>
      </c>
      <c r="H466" s="2">
        <v>8</v>
      </c>
      <c r="I466" s="2">
        <v>15</v>
      </c>
      <c r="J466" s="2">
        <v>0</v>
      </c>
      <c r="K466" s="2">
        <v>301.13</v>
      </c>
      <c r="M466" s="7">
        <f t="shared" si="497"/>
        <v>0</v>
      </c>
    </row>
    <row r="467" spans="1:13" x14ac:dyDescent="0.25">
      <c r="A467" s="1" t="str">
        <f t="shared" ref="A467:E467" si="513">A408</f>
        <v>P205</v>
      </c>
      <c r="B467" s="1">
        <f t="shared" si="513"/>
        <v>205</v>
      </c>
      <c r="C467" s="1">
        <f t="shared" si="513"/>
        <v>2266</v>
      </c>
      <c r="D467" s="1">
        <f t="shared" si="513"/>
        <v>6</v>
      </c>
      <c r="E467" s="1">
        <f t="shared" si="513"/>
        <v>11</v>
      </c>
      <c r="F467" s="2">
        <f t="shared" si="491"/>
        <v>8</v>
      </c>
      <c r="H467" s="2">
        <v>7</v>
      </c>
      <c r="I467" s="2">
        <v>14</v>
      </c>
      <c r="J467" s="2">
        <v>0</v>
      </c>
      <c r="K467" s="2">
        <v>301.17500000000001</v>
      </c>
      <c r="M467" s="7">
        <f t="shared" si="497"/>
        <v>0</v>
      </c>
    </row>
    <row r="468" spans="1:13" x14ac:dyDescent="0.25">
      <c r="A468" s="1" t="str">
        <f t="shared" ref="A468:E468" si="514">A409</f>
        <v>P205</v>
      </c>
      <c r="B468" s="1">
        <f t="shared" si="514"/>
        <v>205</v>
      </c>
      <c r="C468" s="1">
        <f t="shared" si="514"/>
        <v>2300</v>
      </c>
      <c r="D468" s="1">
        <f t="shared" si="514"/>
        <v>6</v>
      </c>
      <c r="E468" s="1">
        <f t="shared" si="514"/>
        <v>11</v>
      </c>
      <c r="F468" s="2">
        <f t="shared" si="491"/>
        <v>8</v>
      </c>
      <c r="H468" s="2">
        <v>7</v>
      </c>
      <c r="I468" s="2">
        <v>14</v>
      </c>
      <c r="J468" s="2">
        <v>0</v>
      </c>
      <c r="K468" s="2">
        <v>300.63499999999999</v>
      </c>
      <c r="M468" s="7">
        <f t="shared" si="497"/>
        <v>0</v>
      </c>
    </row>
    <row r="469" spans="1:13" x14ac:dyDescent="0.25">
      <c r="A469" s="1" t="str">
        <f t="shared" ref="A469:E469" si="515">A410</f>
        <v>P205</v>
      </c>
      <c r="B469" s="1">
        <f t="shared" si="515"/>
        <v>205</v>
      </c>
      <c r="C469" s="1">
        <f t="shared" si="515"/>
        <v>2454</v>
      </c>
      <c r="D469" s="1">
        <f t="shared" si="515"/>
        <v>5</v>
      </c>
      <c r="E469" s="1">
        <f t="shared" si="515"/>
        <v>10</v>
      </c>
      <c r="F469" s="2">
        <f t="shared" si="491"/>
        <v>8</v>
      </c>
      <c r="H469" s="2">
        <v>6</v>
      </c>
      <c r="I469" s="2">
        <v>12</v>
      </c>
      <c r="J469" s="2">
        <v>0</v>
      </c>
      <c r="K469" s="2">
        <v>300.96300000000002</v>
      </c>
      <c r="M469" s="7">
        <f t="shared" si="497"/>
        <v>0</v>
      </c>
    </row>
    <row r="470" spans="1:13" x14ac:dyDescent="0.25">
      <c r="A470" s="1" t="str">
        <f t="shared" ref="A470:E470" si="516">A411</f>
        <v>P205</v>
      </c>
      <c r="B470" s="1">
        <f t="shared" si="516"/>
        <v>205</v>
      </c>
      <c r="C470" s="1">
        <f t="shared" si="516"/>
        <v>2500</v>
      </c>
      <c r="D470" s="1">
        <f t="shared" si="516"/>
        <v>5</v>
      </c>
      <c r="E470" s="1">
        <f t="shared" si="516"/>
        <v>10</v>
      </c>
      <c r="F470" s="2">
        <f t="shared" si="491"/>
        <v>8</v>
      </c>
      <c r="H470" s="2">
        <v>6</v>
      </c>
      <c r="I470" s="2">
        <v>12</v>
      </c>
      <c r="J470" s="2">
        <v>0</v>
      </c>
      <c r="K470" s="2">
        <v>301.197</v>
      </c>
      <c r="M470" s="7">
        <f t="shared" si="497"/>
        <v>0</v>
      </c>
    </row>
    <row r="471" spans="1:13" x14ac:dyDescent="0.25">
      <c r="A471" s="1" t="str">
        <f t="shared" ref="A471:E471" si="517">A412</f>
        <v>P205</v>
      </c>
      <c r="B471" s="1">
        <f t="shared" si="517"/>
        <v>205</v>
      </c>
      <c r="C471" s="1">
        <f t="shared" si="517"/>
        <v>2643</v>
      </c>
      <c r="D471" s="1">
        <f t="shared" si="517"/>
        <v>5</v>
      </c>
      <c r="E471" s="1">
        <f t="shared" si="517"/>
        <v>9</v>
      </c>
      <c r="F471" s="2">
        <f t="shared" si="491"/>
        <v>8</v>
      </c>
      <c r="H471" s="2">
        <v>6</v>
      </c>
      <c r="I471" s="2">
        <v>12</v>
      </c>
      <c r="J471" s="2">
        <v>0</v>
      </c>
      <c r="K471" s="2">
        <v>300.70600000000002</v>
      </c>
      <c r="M471" s="7">
        <f t="shared" si="497"/>
        <v>0</v>
      </c>
    </row>
    <row r="472" spans="1:13" x14ac:dyDescent="0.25">
      <c r="A472" s="1" t="str">
        <f t="shared" ref="A472:E472" si="518">A413</f>
        <v>P205</v>
      </c>
      <c r="B472" s="1">
        <f t="shared" si="518"/>
        <v>205</v>
      </c>
      <c r="C472" s="1">
        <f t="shared" si="518"/>
        <v>2800</v>
      </c>
      <c r="D472" s="1">
        <f t="shared" si="518"/>
        <v>5</v>
      </c>
      <c r="E472" s="1">
        <f t="shared" si="518"/>
        <v>9</v>
      </c>
      <c r="F472" s="2">
        <f t="shared" si="491"/>
        <v>8</v>
      </c>
      <c r="H472" s="2">
        <v>6</v>
      </c>
      <c r="I472" s="2">
        <v>12</v>
      </c>
      <c r="J472" s="2">
        <v>0</v>
      </c>
      <c r="K472" s="2">
        <v>301.14699999999999</v>
      </c>
      <c r="M472" s="7">
        <f t="shared" si="497"/>
        <v>0</v>
      </c>
    </row>
    <row r="473" spans="1:13" x14ac:dyDescent="0.25">
      <c r="A473" s="1" t="str">
        <f t="shared" ref="A473:E473" si="519">A414</f>
        <v>P205</v>
      </c>
      <c r="B473" s="1">
        <f t="shared" si="519"/>
        <v>205</v>
      </c>
      <c r="C473" s="1">
        <f t="shared" si="519"/>
        <v>2832</v>
      </c>
      <c r="D473" s="1">
        <f t="shared" si="519"/>
        <v>5</v>
      </c>
      <c r="E473" s="1">
        <f t="shared" si="519"/>
        <v>9</v>
      </c>
      <c r="F473" s="2">
        <f t="shared" si="491"/>
        <v>8</v>
      </c>
      <c r="H473" s="2">
        <v>6</v>
      </c>
      <c r="I473" s="2">
        <v>12</v>
      </c>
      <c r="J473" s="2">
        <v>0</v>
      </c>
      <c r="K473" s="2">
        <v>300.70600000000002</v>
      </c>
      <c r="M473" s="7">
        <f t="shared" si="497"/>
        <v>0</v>
      </c>
    </row>
    <row r="474" spans="1:13" x14ac:dyDescent="0.25">
      <c r="A474" s="1" t="str">
        <f t="shared" ref="A474:E474" si="520">A415</f>
        <v>P9</v>
      </c>
      <c r="B474" s="1">
        <f t="shared" si="520"/>
        <v>9</v>
      </c>
      <c r="C474" s="1">
        <f t="shared" si="520"/>
        <v>3</v>
      </c>
      <c r="D474" s="1">
        <f t="shared" si="520"/>
        <v>3</v>
      </c>
      <c r="E474" s="1">
        <f t="shared" si="520"/>
        <v>6</v>
      </c>
      <c r="F474" s="2">
        <f t="shared" si="491"/>
        <v>9</v>
      </c>
      <c r="H474" s="2">
        <v>3</v>
      </c>
      <c r="I474" s="2">
        <v>6</v>
      </c>
      <c r="J474" s="2">
        <v>1</v>
      </c>
      <c r="K474" s="2">
        <v>1E-3</v>
      </c>
      <c r="M474" s="7">
        <f t="shared" si="497"/>
        <v>1</v>
      </c>
    </row>
    <row r="475" spans="1:13" x14ac:dyDescent="0.25">
      <c r="A475" s="1" t="str">
        <f t="shared" ref="A475:E475" si="521">A416</f>
        <v>P9</v>
      </c>
      <c r="B475" s="1">
        <f t="shared" si="521"/>
        <v>9</v>
      </c>
      <c r="C475" s="1">
        <f t="shared" si="521"/>
        <v>4</v>
      </c>
      <c r="D475" s="1">
        <f t="shared" si="521"/>
        <v>3</v>
      </c>
      <c r="E475" s="1">
        <f t="shared" si="521"/>
        <v>5</v>
      </c>
      <c r="F475" s="2">
        <f t="shared" si="491"/>
        <v>9</v>
      </c>
      <c r="H475" s="2">
        <v>3</v>
      </c>
      <c r="I475" s="2">
        <v>5</v>
      </c>
      <c r="J475" s="2">
        <v>1</v>
      </c>
      <c r="K475" s="2">
        <v>2E-3</v>
      </c>
      <c r="M475" s="7">
        <f t="shared" si="497"/>
        <v>1</v>
      </c>
    </row>
    <row r="476" spans="1:13" x14ac:dyDescent="0.25">
      <c r="A476" s="1" t="str">
        <f t="shared" ref="A476:E476" si="522">A417</f>
        <v>P9</v>
      </c>
      <c r="B476" s="1">
        <f t="shared" si="522"/>
        <v>9</v>
      </c>
      <c r="C476" s="1">
        <f t="shared" si="522"/>
        <v>5</v>
      </c>
      <c r="D476" s="1">
        <f t="shared" si="522"/>
        <v>2</v>
      </c>
      <c r="E476" s="1">
        <f t="shared" si="522"/>
        <v>4</v>
      </c>
      <c r="F476" s="2">
        <f t="shared" si="491"/>
        <v>9</v>
      </c>
      <c r="H476" s="2">
        <v>2</v>
      </c>
      <c r="I476" s="2">
        <v>4</v>
      </c>
      <c r="J476" s="2">
        <v>1</v>
      </c>
      <c r="K476" s="2">
        <v>2E-3</v>
      </c>
      <c r="M476" s="7">
        <f t="shared" si="497"/>
        <v>1</v>
      </c>
    </row>
    <row r="477" spans="1:13" x14ac:dyDescent="0.25">
      <c r="A477" s="1" t="str">
        <f t="shared" ref="A477:E477" si="523">A418</f>
        <v>P9</v>
      </c>
      <c r="B477" s="1">
        <f t="shared" si="523"/>
        <v>9</v>
      </c>
      <c r="C477" s="1">
        <f t="shared" si="523"/>
        <v>6</v>
      </c>
      <c r="D477" s="1">
        <f t="shared" si="523"/>
        <v>2</v>
      </c>
      <c r="E477" s="1">
        <f t="shared" si="523"/>
        <v>3</v>
      </c>
      <c r="F477" s="2">
        <f t="shared" si="491"/>
        <v>9</v>
      </c>
      <c r="H477" s="2">
        <v>2</v>
      </c>
      <c r="I477" s="2">
        <v>3</v>
      </c>
      <c r="J477" s="2">
        <v>1</v>
      </c>
      <c r="K477" s="2">
        <v>2E-3</v>
      </c>
      <c r="M477" s="7">
        <f t="shared" si="497"/>
        <v>1</v>
      </c>
    </row>
    <row r="478" spans="1:13" x14ac:dyDescent="0.25">
      <c r="A478" s="1" t="str">
        <f t="shared" ref="A478:E478" si="524">A419</f>
        <v>P9</v>
      </c>
      <c r="B478" s="1">
        <f t="shared" si="524"/>
        <v>9</v>
      </c>
      <c r="C478" s="1">
        <f t="shared" si="524"/>
        <v>7</v>
      </c>
      <c r="D478" s="1">
        <f t="shared" si="524"/>
        <v>2</v>
      </c>
      <c r="E478" s="1">
        <f t="shared" si="524"/>
        <v>3</v>
      </c>
      <c r="F478" s="2">
        <f t="shared" si="491"/>
        <v>9</v>
      </c>
      <c r="H478" s="2">
        <v>2</v>
      </c>
      <c r="I478" s="2">
        <v>3</v>
      </c>
      <c r="J478" s="2">
        <v>1</v>
      </c>
      <c r="K478" s="2">
        <v>4.0000000000000001E-3</v>
      </c>
      <c r="M478" s="7">
        <f t="shared" si="497"/>
        <v>1</v>
      </c>
    </row>
    <row r="479" spans="1:13" x14ac:dyDescent="0.25">
      <c r="A479" s="1" t="str">
        <f t="shared" ref="A479:E479" si="525">A420</f>
        <v>P12</v>
      </c>
      <c r="B479" s="1">
        <f t="shared" si="525"/>
        <v>12</v>
      </c>
      <c r="C479" s="1">
        <f t="shared" si="525"/>
        <v>4</v>
      </c>
      <c r="D479" s="1">
        <f t="shared" si="525"/>
        <v>4</v>
      </c>
      <c r="E479" s="1">
        <f t="shared" si="525"/>
        <v>7</v>
      </c>
      <c r="F479" s="2">
        <f t="shared" si="491"/>
        <v>9</v>
      </c>
      <c r="H479" s="2">
        <v>4</v>
      </c>
      <c r="I479" s="2">
        <v>7</v>
      </c>
      <c r="J479" s="2">
        <v>1</v>
      </c>
      <c r="K479" s="2">
        <v>1E-3</v>
      </c>
      <c r="M479" s="7">
        <f t="shared" si="497"/>
        <v>1</v>
      </c>
    </row>
    <row r="480" spans="1:13" x14ac:dyDescent="0.25">
      <c r="A480" s="1" t="str">
        <f t="shared" ref="A480:E480" si="526">A421</f>
        <v>P12</v>
      </c>
      <c r="B480" s="1">
        <f t="shared" si="526"/>
        <v>12</v>
      </c>
      <c r="C480" s="1">
        <f t="shared" si="526"/>
        <v>5</v>
      </c>
      <c r="D480" s="1">
        <f t="shared" si="526"/>
        <v>3</v>
      </c>
      <c r="E480" s="1">
        <f t="shared" si="526"/>
        <v>6</v>
      </c>
      <c r="F480" s="2">
        <f t="shared" si="491"/>
        <v>9</v>
      </c>
      <c r="H480" s="2">
        <v>3</v>
      </c>
      <c r="I480" s="2">
        <v>6</v>
      </c>
      <c r="J480" s="2">
        <v>1</v>
      </c>
      <c r="K480" s="2">
        <v>0.50700000000000001</v>
      </c>
      <c r="M480" s="7">
        <f t="shared" si="497"/>
        <v>1</v>
      </c>
    </row>
    <row r="481" spans="1:13" x14ac:dyDescent="0.25">
      <c r="A481" s="1" t="str">
        <f t="shared" ref="A481:E481" si="527">A422</f>
        <v>P12</v>
      </c>
      <c r="B481" s="1">
        <f t="shared" si="527"/>
        <v>12</v>
      </c>
      <c r="C481" s="1">
        <f t="shared" si="527"/>
        <v>6</v>
      </c>
      <c r="D481" s="1">
        <f t="shared" si="527"/>
        <v>3</v>
      </c>
      <c r="E481" s="1">
        <f t="shared" si="527"/>
        <v>5</v>
      </c>
      <c r="F481" s="2">
        <f t="shared" si="491"/>
        <v>9</v>
      </c>
      <c r="H481" s="2">
        <v>3</v>
      </c>
      <c r="I481" s="2">
        <v>5</v>
      </c>
      <c r="J481" s="2">
        <v>1</v>
      </c>
      <c r="K481" s="2">
        <v>2E-3</v>
      </c>
      <c r="M481" s="7">
        <f t="shared" si="497"/>
        <v>1</v>
      </c>
    </row>
    <row r="482" spans="1:13" x14ac:dyDescent="0.25">
      <c r="A482" s="1" t="str">
        <f t="shared" ref="A482:E482" si="528">A423</f>
        <v>P12</v>
      </c>
      <c r="B482" s="1">
        <f t="shared" si="528"/>
        <v>12</v>
      </c>
      <c r="C482" s="1">
        <f t="shared" si="528"/>
        <v>7</v>
      </c>
      <c r="D482" s="1">
        <f t="shared" si="528"/>
        <v>2</v>
      </c>
      <c r="E482" s="1">
        <f t="shared" si="528"/>
        <v>4</v>
      </c>
      <c r="F482" s="2">
        <f t="shared" si="491"/>
        <v>9</v>
      </c>
      <c r="H482" s="2">
        <v>2</v>
      </c>
      <c r="I482" s="2">
        <v>4</v>
      </c>
      <c r="J482" s="2">
        <v>1</v>
      </c>
      <c r="K482" s="2">
        <v>2E-3</v>
      </c>
      <c r="M482" s="7">
        <f t="shared" si="497"/>
        <v>1</v>
      </c>
    </row>
    <row r="483" spans="1:13" x14ac:dyDescent="0.25">
      <c r="A483" s="1" t="str">
        <f t="shared" ref="A483:E483" si="529">A424</f>
        <v>P12</v>
      </c>
      <c r="B483" s="1">
        <f t="shared" si="529"/>
        <v>12</v>
      </c>
      <c r="C483" s="1">
        <f t="shared" si="529"/>
        <v>8</v>
      </c>
      <c r="D483" s="1">
        <f t="shared" si="529"/>
        <v>2</v>
      </c>
      <c r="E483" s="1">
        <f t="shared" si="529"/>
        <v>4</v>
      </c>
      <c r="F483" s="2">
        <f t="shared" si="491"/>
        <v>9</v>
      </c>
      <c r="H483" s="2">
        <v>2</v>
      </c>
      <c r="I483" s="2">
        <v>4</v>
      </c>
      <c r="J483" s="2">
        <v>1</v>
      </c>
      <c r="K483" s="2">
        <v>4.0000000000000001E-3</v>
      </c>
      <c r="M483" s="7">
        <f t="shared" si="497"/>
        <v>1</v>
      </c>
    </row>
    <row r="484" spans="1:13" x14ac:dyDescent="0.25">
      <c r="A484" s="1" t="str">
        <f t="shared" ref="A484:E484" si="530">A425</f>
        <v>P12</v>
      </c>
      <c r="B484" s="1">
        <f t="shared" si="530"/>
        <v>12</v>
      </c>
      <c r="C484" s="1">
        <f t="shared" si="530"/>
        <v>9</v>
      </c>
      <c r="D484" s="1">
        <f t="shared" si="530"/>
        <v>2</v>
      </c>
      <c r="E484" s="1">
        <f t="shared" si="530"/>
        <v>3</v>
      </c>
      <c r="F484" s="2">
        <f t="shared" si="491"/>
        <v>9</v>
      </c>
      <c r="H484" s="2">
        <v>2</v>
      </c>
      <c r="I484" s="2">
        <v>3</v>
      </c>
      <c r="J484" s="2">
        <v>1</v>
      </c>
      <c r="K484" s="2">
        <v>6.0000000000000001E-3</v>
      </c>
      <c r="M484" s="7">
        <f t="shared" si="497"/>
        <v>1</v>
      </c>
    </row>
    <row r="485" spans="1:13" x14ac:dyDescent="0.25">
      <c r="A485" s="1" t="str">
        <f t="shared" ref="A485:E485" si="531">A426</f>
        <v>P16</v>
      </c>
      <c r="B485" s="1">
        <f t="shared" si="531"/>
        <v>16</v>
      </c>
      <c r="C485" s="1">
        <f t="shared" si="531"/>
        <v>15</v>
      </c>
      <c r="D485" s="1">
        <f t="shared" si="531"/>
        <v>4</v>
      </c>
      <c r="E485" s="1">
        <f t="shared" si="531"/>
        <v>6</v>
      </c>
      <c r="F485" s="2">
        <f t="shared" si="491"/>
        <v>9</v>
      </c>
      <c r="H485" s="2">
        <v>4</v>
      </c>
      <c r="I485" s="2">
        <v>6</v>
      </c>
      <c r="J485" s="2">
        <v>1</v>
      </c>
      <c r="K485" s="2">
        <v>0.61099999999999999</v>
      </c>
      <c r="M485" s="7">
        <f t="shared" si="497"/>
        <v>1</v>
      </c>
    </row>
    <row r="486" spans="1:13" x14ac:dyDescent="0.25">
      <c r="A486" s="1" t="str">
        <f t="shared" ref="A486:E486" si="532">A427</f>
        <v>P16</v>
      </c>
      <c r="B486" s="1">
        <f t="shared" si="532"/>
        <v>16</v>
      </c>
      <c r="C486" s="1">
        <f t="shared" si="532"/>
        <v>16</v>
      </c>
      <c r="D486" s="1">
        <f t="shared" si="532"/>
        <v>3</v>
      </c>
      <c r="E486" s="1">
        <f t="shared" si="532"/>
        <v>6</v>
      </c>
      <c r="F486" s="2">
        <f t="shared" si="491"/>
        <v>9</v>
      </c>
      <c r="H486" s="2">
        <v>3</v>
      </c>
      <c r="I486" s="2">
        <v>6</v>
      </c>
      <c r="J486" s="2">
        <v>1</v>
      </c>
      <c r="K486" s="2">
        <v>3.0000000000000001E-3</v>
      </c>
      <c r="M486" s="7">
        <f t="shared" si="497"/>
        <v>1</v>
      </c>
    </row>
    <row r="487" spans="1:13" x14ac:dyDescent="0.25">
      <c r="A487" s="1" t="str">
        <f t="shared" ref="A487:E487" si="533">A428</f>
        <v>P16</v>
      </c>
      <c r="B487" s="1">
        <f t="shared" si="533"/>
        <v>16</v>
      </c>
      <c r="C487" s="1">
        <f t="shared" si="533"/>
        <v>18</v>
      </c>
      <c r="D487" s="1">
        <f t="shared" si="533"/>
        <v>3</v>
      </c>
      <c r="E487" s="1">
        <f t="shared" si="533"/>
        <v>6</v>
      </c>
      <c r="F487" s="2">
        <f t="shared" si="491"/>
        <v>9</v>
      </c>
      <c r="H487" s="2">
        <v>3</v>
      </c>
      <c r="I487" s="2">
        <v>6</v>
      </c>
      <c r="J487" s="2">
        <v>1</v>
      </c>
      <c r="K487" s="2">
        <v>0.65200000000000002</v>
      </c>
      <c r="M487" s="7">
        <f t="shared" si="497"/>
        <v>1</v>
      </c>
    </row>
    <row r="488" spans="1:13" x14ac:dyDescent="0.25">
      <c r="A488" s="1" t="str">
        <f t="shared" ref="A488:E488" si="534">A429</f>
        <v>P16</v>
      </c>
      <c r="B488" s="1">
        <f t="shared" si="534"/>
        <v>16</v>
      </c>
      <c r="C488" s="1">
        <f t="shared" si="534"/>
        <v>19</v>
      </c>
      <c r="D488" s="1">
        <f t="shared" si="534"/>
        <v>3</v>
      </c>
      <c r="E488" s="1">
        <f t="shared" si="534"/>
        <v>5</v>
      </c>
      <c r="F488" s="2">
        <f t="shared" si="491"/>
        <v>9</v>
      </c>
      <c r="H488" s="2">
        <v>3</v>
      </c>
      <c r="I488" s="2">
        <v>5</v>
      </c>
      <c r="J488" s="2">
        <v>1</v>
      </c>
      <c r="K488" s="2">
        <v>0.60299999999999998</v>
      </c>
      <c r="M488" s="7">
        <f t="shared" si="497"/>
        <v>1</v>
      </c>
    </row>
    <row r="489" spans="1:13" x14ac:dyDescent="0.25">
      <c r="A489" s="1" t="str">
        <f t="shared" ref="A489:E489" si="535">A430</f>
        <v>P16</v>
      </c>
      <c r="B489" s="1">
        <f t="shared" si="535"/>
        <v>16</v>
      </c>
      <c r="C489" s="1">
        <f t="shared" si="535"/>
        <v>20</v>
      </c>
      <c r="D489" s="1">
        <f t="shared" si="535"/>
        <v>3</v>
      </c>
      <c r="E489" s="1">
        <f t="shared" si="535"/>
        <v>5</v>
      </c>
      <c r="F489" s="2">
        <f t="shared" si="491"/>
        <v>9</v>
      </c>
      <c r="H489" s="2">
        <v>3</v>
      </c>
      <c r="I489" s="2">
        <v>5</v>
      </c>
      <c r="J489" s="2">
        <v>1</v>
      </c>
      <c r="K489" s="2">
        <v>0.70599999999999996</v>
      </c>
      <c r="M489" s="7">
        <f t="shared" si="497"/>
        <v>1</v>
      </c>
    </row>
    <row r="490" spans="1:13" x14ac:dyDescent="0.25">
      <c r="A490" s="1" t="str">
        <f t="shared" ref="A490:E490" si="536">A431</f>
        <v>P16</v>
      </c>
      <c r="B490" s="1">
        <f t="shared" si="536"/>
        <v>16</v>
      </c>
      <c r="C490" s="1">
        <f t="shared" si="536"/>
        <v>21</v>
      </c>
      <c r="D490" s="1">
        <f t="shared" si="536"/>
        <v>3</v>
      </c>
      <c r="E490" s="1">
        <f t="shared" si="536"/>
        <v>5</v>
      </c>
      <c r="F490" s="2">
        <f t="shared" si="491"/>
        <v>9</v>
      </c>
      <c r="H490" s="2">
        <v>3</v>
      </c>
      <c r="I490" s="2">
        <v>5</v>
      </c>
      <c r="J490" s="2">
        <v>1</v>
      </c>
      <c r="K490" s="2">
        <v>0.66400000000000003</v>
      </c>
      <c r="M490" s="7">
        <f t="shared" si="497"/>
        <v>1</v>
      </c>
    </row>
    <row r="491" spans="1:13" x14ac:dyDescent="0.25">
      <c r="A491" s="1" t="str">
        <f t="shared" ref="A491:E491" si="537">A432</f>
        <v>P16</v>
      </c>
      <c r="B491" s="1">
        <f t="shared" si="537"/>
        <v>16</v>
      </c>
      <c r="C491" s="1">
        <f t="shared" si="537"/>
        <v>22</v>
      </c>
      <c r="D491" s="1">
        <f t="shared" si="537"/>
        <v>2</v>
      </c>
      <c r="E491" s="1">
        <f t="shared" si="537"/>
        <v>4</v>
      </c>
      <c r="F491" s="2">
        <f t="shared" si="491"/>
        <v>9</v>
      </c>
      <c r="H491" s="2">
        <v>2</v>
      </c>
      <c r="I491" s="2">
        <v>4</v>
      </c>
      <c r="J491" s="2">
        <v>1</v>
      </c>
      <c r="K491" s="2">
        <v>0.01</v>
      </c>
      <c r="M491" s="7">
        <f t="shared" si="497"/>
        <v>1</v>
      </c>
    </row>
    <row r="492" spans="1:13" x14ac:dyDescent="0.25">
      <c r="A492" s="1" t="str">
        <f t="shared" ref="A492:E492" si="538">A433</f>
        <v>P24</v>
      </c>
      <c r="B492" s="1">
        <f t="shared" si="538"/>
        <v>24</v>
      </c>
      <c r="C492" s="1">
        <f t="shared" si="538"/>
        <v>18</v>
      </c>
      <c r="D492" s="1">
        <f t="shared" si="538"/>
        <v>4</v>
      </c>
      <c r="E492" s="1">
        <f t="shared" si="538"/>
        <v>8</v>
      </c>
      <c r="F492" s="2">
        <f t="shared" si="491"/>
        <v>9</v>
      </c>
      <c r="H492" s="2">
        <v>4</v>
      </c>
      <c r="I492" s="2">
        <v>8</v>
      </c>
      <c r="J492" s="2">
        <v>1</v>
      </c>
      <c r="K492" s="2">
        <v>4.1000000000000002E-2</v>
      </c>
      <c r="M492" s="7">
        <f t="shared" si="497"/>
        <v>1</v>
      </c>
    </row>
    <row r="493" spans="1:13" x14ac:dyDescent="0.25">
      <c r="A493" s="1" t="str">
        <f t="shared" ref="A493:E493" si="539">A434</f>
        <v>P24</v>
      </c>
      <c r="B493" s="1">
        <f t="shared" si="539"/>
        <v>24</v>
      </c>
      <c r="C493" s="1">
        <f t="shared" si="539"/>
        <v>20</v>
      </c>
      <c r="D493" s="1">
        <f t="shared" si="539"/>
        <v>4</v>
      </c>
      <c r="E493" s="1">
        <f t="shared" si="539"/>
        <v>7</v>
      </c>
      <c r="F493" s="2">
        <f t="shared" si="491"/>
        <v>9</v>
      </c>
      <c r="H493" s="2">
        <v>4</v>
      </c>
      <c r="I493" s="2">
        <v>7</v>
      </c>
      <c r="J493" s="2">
        <v>1</v>
      </c>
      <c r="K493" s="2">
        <v>4.6349999999999998</v>
      </c>
      <c r="M493" s="7">
        <f t="shared" si="497"/>
        <v>1</v>
      </c>
    </row>
    <row r="494" spans="1:13" x14ac:dyDescent="0.25">
      <c r="A494" s="1" t="str">
        <f t="shared" ref="A494:E494" si="540">A435</f>
        <v>P24</v>
      </c>
      <c r="B494" s="1">
        <f t="shared" si="540"/>
        <v>24</v>
      </c>
      <c r="C494" s="1">
        <f t="shared" si="540"/>
        <v>24</v>
      </c>
      <c r="D494" s="1">
        <f t="shared" si="540"/>
        <v>3</v>
      </c>
      <c r="E494" s="1">
        <f t="shared" si="540"/>
        <v>6</v>
      </c>
      <c r="F494" s="2">
        <f t="shared" si="491"/>
        <v>9</v>
      </c>
      <c r="H494" s="2">
        <v>3</v>
      </c>
      <c r="I494" s="2">
        <v>6</v>
      </c>
      <c r="J494" s="2">
        <v>1</v>
      </c>
      <c r="K494" s="2">
        <v>4.1000000000000002E-2</v>
      </c>
      <c r="M494" s="7">
        <f t="shared" si="497"/>
        <v>1</v>
      </c>
    </row>
    <row r="495" spans="1:13" x14ac:dyDescent="0.25">
      <c r="A495" s="1" t="str">
        <f t="shared" ref="A495:E495" si="541">A436</f>
        <v>P24</v>
      </c>
      <c r="B495" s="1">
        <f t="shared" si="541"/>
        <v>24</v>
      </c>
      <c r="C495" s="1">
        <f t="shared" si="541"/>
        <v>25</v>
      </c>
      <c r="D495" s="1">
        <f t="shared" si="541"/>
        <v>3</v>
      </c>
      <c r="E495" s="1">
        <f t="shared" si="541"/>
        <v>6</v>
      </c>
      <c r="F495" s="2">
        <f t="shared" si="491"/>
        <v>9</v>
      </c>
      <c r="H495" s="2">
        <v>3</v>
      </c>
      <c r="I495" s="2">
        <v>6</v>
      </c>
      <c r="J495" s="2">
        <v>1</v>
      </c>
      <c r="K495" s="2">
        <v>4.2000000000000003E-2</v>
      </c>
      <c r="M495" s="7">
        <f t="shared" si="497"/>
        <v>1</v>
      </c>
    </row>
    <row r="496" spans="1:13" x14ac:dyDescent="0.25">
      <c r="A496" s="1" t="str">
        <f t="shared" ref="A496:E496" si="542">A437</f>
        <v>P24</v>
      </c>
      <c r="B496" s="1">
        <f t="shared" si="542"/>
        <v>24</v>
      </c>
      <c r="C496" s="1">
        <f t="shared" si="542"/>
        <v>30</v>
      </c>
      <c r="D496" s="1">
        <f t="shared" si="542"/>
        <v>3</v>
      </c>
      <c r="E496" s="1">
        <f t="shared" si="542"/>
        <v>5</v>
      </c>
      <c r="F496" s="2">
        <f t="shared" si="491"/>
        <v>9</v>
      </c>
      <c r="H496" s="2">
        <v>3</v>
      </c>
      <c r="I496" s="2">
        <v>5</v>
      </c>
      <c r="J496" s="2">
        <v>1</v>
      </c>
      <c r="K496" s="2">
        <v>4.3999999999999997E-2</v>
      </c>
      <c r="M496" s="7">
        <f t="shared" si="497"/>
        <v>1</v>
      </c>
    </row>
    <row r="497" spans="1:13" x14ac:dyDescent="0.25">
      <c r="A497" s="1" t="str">
        <f t="shared" ref="A497:E497" si="543">A438</f>
        <v>P24</v>
      </c>
      <c r="B497" s="1">
        <f t="shared" si="543"/>
        <v>24</v>
      </c>
      <c r="C497" s="1">
        <f t="shared" si="543"/>
        <v>35</v>
      </c>
      <c r="D497" s="1">
        <f t="shared" si="543"/>
        <v>2</v>
      </c>
      <c r="E497" s="1">
        <f t="shared" si="543"/>
        <v>4</v>
      </c>
      <c r="F497" s="2">
        <f t="shared" si="491"/>
        <v>9</v>
      </c>
      <c r="H497" s="2">
        <v>2</v>
      </c>
      <c r="I497" s="2">
        <v>4</v>
      </c>
      <c r="J497" s="2">
        <v>1</v>
      </c>
      <c r="K497" s="2">
        <v>4.8000000000000001E-2</v>
      </c>
      <c r="M497" s="7">
        <f t="shared" si="497"/>
        <v>1</v>
      </c>
    </row>
    <row r="498" spans="1:13" x14ac:dyDescent="0.25">
      <c r="A498" s="1" t="str">
        <f t="shared" ref="A498:E498" si="544">A439</f>
        <v>P24</v>
      </c>
      <c r="B498" s="1">
        <f t="shared" si="544"/>
        <v>24</v>
      </c>
      <c r="C498" s="1">
        <f t="shared" si="544"/>
        <v>40</v>
      </c>
      <c r="D498" s="1">
        <f t="shared" si="544"/>
        <v>2</v>
      </c>
      <c r="E498" s="1">
        <f t="shared" si="544"/>
        <v>4</v>
      </c>
      <c r="F498" s="2">
        <f t="shared" si="491"/>
        <v>9</v>
      </c>
      <c r="H498" s="2">
        <v>2</v>
      </c>
      <c r="I498" s="2">
        <v>4</v>
      </c>
      <c r="J498" s="2">
        <v>1</v>
      </c>
      <c r="K498" s="2">
        <v>4.5999999999999999E-2</v>
      </c>
      <c r="M498" s="7">
        <f t="shared" si="497"/>
        <v>1</v>
      </c>
    </row>
    <row r="499" spans="1:13" x14ac:dyDescent="0.25">
      <c r="A499" s="1" t="str">
        <f t="shared" ref="A499:E499" si="545">A440</f>
        <v>P65</v>
      </c>
      <c r="B499" s="1">
        <f t="shared" si="545"/>
        <v>65</v>
      </c>
      <c r="C499" s="1">
        <f t="shared" si="545"/>
        <v>326</v>
      </c>
      <c r="D499" s="1">
        <f t="shared" si="545"/>
        <v>8</v>
      </c>
      <c r="E499" s="1">
        <f t="shared" si="545"/>
        <v>16</v>
      </c>
      <c r="F499" s="2">
        <f t="shared" si="491"/>
        <v>9</v>
      </c>
      <c r="H499" s="2">
        <v>8</v>
      </c>
      <c r="I499" s="2">
        <v>16</v>
      </c>
      <c r="J499" s="2">
        <v>1</v>
      </c>
      <c r="K499" s="2">
        <v>0.152</v>
      </c>
      <c r="M499" s="7">
        <f t="shared" si="497"/>
        <v>1</v>
      </c>
    </row>
    <row r="500" spans="1:13" x14ac:dyDescent="0.25">
      <c r="A500" s="1" t="str">
        <f t="shared" ref="A500:E500" si="546">A441</f>
        <v>P65</v>
      </c>
      <c r="B500" s="1">
        <f t="shared" si="546"/>
        <v>65</v>
      </c>
      <c r="C500" s="1">
        <f t="shared" si="546"/>
        <v>381</v>
      </c>
      <c r="D500" s="1">
        <f t="shared" si="546"/>
        <v>7</v>
      </c>
      <c r="E500" s="1">
        <f t="shared" si="546"/>
        <v>14</v>
      </c>
      <c r="F500" s="2">
        <f t="shared" si="491"/>
        <v>9</v>
      </c>
      <c r="H500" s="2">
        <v>7</v>
      </c>
      <c r="I500" s="2">
        <v>14</v>
      </c>
      <c r="J500" s="2">
        <v>1</v>
      </c>
      <c r="K500" s="2">
        <v>0.14399999999999999</v>
      </c>
      <c r="M500" s="7">
        <f t="shared" si="497"/>
        <v>1</v>
      </c>
    </row>
    <row r="501" spans="1:13" x14ac:dyDescent="0.25">
      <c r="A501" s="1" t="str">
        <f t="shared" ref="A501:E501" si="547">A442</f>
        <v>P65</v>
      </c>
      <c r="B501" s="1">
        <f t="shared" si="547"/>
        <v>65</v>
      </c>
      <c r="C501" s="1">
        <f t="shared" si="547"/>
        <v>435</v>
      </c>
      <c r="D501" s="1">
        <f t="shared" si="547"/>
        <v>6</v>
      </c>
      <c r="E501" s="1">
        <f t="shared" si="547"/>
        <v>12</v>
      </c>
      <c r="F501" s="2">
        <f t="shared" si="491"/>
        <v>9</v>
      </c>
      <c r="H501" s="2">
        <v>6</v>
      </c>
      <c r="I501" s="2">
        <v>12</v>
      </c>
      <c r="J501" s="2">
        <v>1</v>
      </c>
      <c r="K501" s="2">
        <v>4.6180000000000003</v>
      </c>
      <c r="M501" s="7">
        <f t="shared" si="497"/>
        <v>1</v>
      </c>
    </row>
    <row r="502" spans="1:13" x14ac:dyDescent="0.25">
      <c r="A502" s="1" t="str">
        <f t="shared" ref="A502:E502" si="548">A443</f>
        <v>P65</v>
      </c>
      <c r="B502" s="1">
        <f t="shared" si="548"/>
        <v>65</v>
      </c>
      <c r="C502" s="1">
        <f t="shared" si="548"/>
        <v>490</v>
      </c>
      <c r="D502" s="1">
        <f t="shared" si="548"/>
        <v>6</v>
      </c>
      <c r="E502" s="1">
        <f t="shared" si="548"/>
        <v>11</v>
      </c>
      <c r="F502" s="2">
        <f t="shared" si="491"/>
        <v>9</v>
      </c>
      <c r="H502" s="2">
        <v>6</v>
      </c>
      <c r="I502" s="2">
        <v>11</v>
      </c>
      <c r="J502" s="2">
        <v>1</v>
      </c>
      <c r="K502" s="2">
        <v>8.1359999999999992</v>
      </c>
      <c r="M502" s="7">
        <f t="shared" si="497"/>
        <v>1</v>
      </c>
    </row>
    <row r="503" spans="1:13" x14ac:dyDescent="0.25">
      <c r="A503" s="1" t="str">
        <f t="shared" ref="A503:E503" si="549">A444</f>
        <v>P65</v>
      </c>
      <c r="B503" s="1">
        <f t="shared" si="549"/>
        <v>65</v>
      </c>
      <c r="C503" s="1">
        <f t="shared" si="549"/>
        <v>512</v>
      </c>
      <c r="D503" s="1">
        <f t="shared" si="549"/>
        <v>5</v>
      </c>
      <c r="E503" s="1">
        <f t="shared" si="549"/>
        <v>10</v>
      </c>
      <c r="F503" s="2">
        <f t="shared" si="491"/>
        <v>9</v>
      </c>
      <c r="H503" s="2">
        <v>6</v>
      </c>
      <c r="I503" s="2">
        <v>10</v>
      </c>
      <c r="J503" s="2">
        <v>0</v>
      </c>
      <c r="K503" s="2">
        <v>300.03500000000003</v>
      </c>
      <c r="M503" s="7">
        <f t="shared" si="497"/>
        <v>0</v>
      </c>
    </row>
    <row r="504" spans="1:13" x14ac:dyDescent="0.25">
      <c r="A504" s="1" t="str">
        <f t="shared" ref="A504:E504" si="550">A445</f>
        <v>P65</v>
      </c>
      <c r="B504" s="1">
        <f t="shared" si="550"/>
        <v>65</v>
      </c>
      <c r="C504" s="1">
        <f t="shared" si="550"/>
        <v>544</v>
      </c>
      <c r="D504" s="1">
        <f t="shared" si="550"/>
        <v>5</v>
      </c>
      <c r="E504" s="1">
        <f t="shared" si="550"/>
        <v>10</v>
      </c>
      <c r="F504" s="2">
        <f t="shared" si="491"/>
        <v>9</v>
      </c>
      <c r="H504" s="2">
        <v>5</v>
      </c>
      <c r="I504" s="2">
        <v>10</v>
      </c>
      <c r="J504" s="2">
        <v>1</v>
      </c>
      <c r="K504" s="2">
        <v>10.91</v>
      </c>
      <c r="M504" s="7">
        <f t="shared" si="497"/>
        <v>1</v>
      </c>
    </row>
    <row r="505" spans="1:13" x14ac:dyDescent="0.25">
      <c r="A505" s="1" t="str">
        <f t="shared" ref="A505:E505" si="551">A446</f>
        <v>P148</v>
      </c>
      <c r="B505" s="1">
        <f t="shared" si="551"/>
        <v>148</v>
      </c>
      <c r="C505" s="1">
        <f t="shared" si="551"/>
        <v>204</v>
      </c>
      <c r="D505" s="1">
        <f t="shared" si="551"/>
        <v>13</v>
      </c>
      <c r="E505" s="1">
        <f t="shared" si="551"/>
        <v>26</v>
      </c>
      <c r="F505" s="2">
        <f t="shared" si="491"/>
        <v>9</v>
      </c>
      <c r="H505" s="2">
        <v>14</v>
      </c>
      <c r="I505" s="2">
        <v>26</v>
      </c>
      <c r="J505" s="2">
        <v>0</v>
      </c>
      <c r="K505" s="2">
        <v>301.363</v>
      </c>
      <c r="M505" s="7">
        <f t="shared" si="497"/>
        <v>0</v>
      </c>
    </row>
    <row r="506" spans="1:13" x14ac:dyDescent="0.25">
      <c r="A506" s="1" t="str">
        <f t="shared" ref="A506:E506" si="552">A447</f>
        <v>P148</v>
      </c>
      <c r="B506" s="1">
        <f t="shared" si="552"/>
        <v>148</v>
      </c>
      <c r="C506" s="1">
        <f t="shared" si="552"/>
        <v>228</v>
      </c>
      <c r="D506" s="1">
        <f t="shared" si="552"/>
        <v>12</v>
      </c>
      <c r="E506" s="1">
        <f t="shared" si="552"/>
        <v>23</v>
      </c>
      <c r="F506" s="2">
        <f t="shared" si="491"/>
        <v>9</v>
      </c>
      <c r="H506" s="2">
        <v>12</v>
      </c>
      <c r="I506" s="2">
        <v>23</v>
      </c>
      <c r="J506" s="2">
        <v>1</v>
      </c>
      <c r="K506" s="2">
        <v>155.68</v>
      </c>
      <c r="M506" s="7">
        <f t="shared" si="497"/>
        <v>1</v>
      </c>
    </row>
    <row r="507" spans="1:13" x14ac:dyDescent="0.25">
      <c r="A507" s="1" t="str">
        <f t="shared" ref="A507:E507" si="553">A448</f>
        <v>P148</v>
      </c>
      <c r="B507" s="1">
        <f t="shared" si="553"/>
        <v>148</v>
      </c>
      <c r="C507" s="1">
        <f t="shared" si="553"/>
        <v>255</v>
      </c>
      <c r="D507" s="1">
        <f t="shared" si="553"/>
        <v>11</v>
      </c>
      <c r="E507" s="1">
        <f t="shared" si="553"/>
        <v>21</v>
      </c>
      <c r="F507" s="2">
        <f t="shared" si="491"/>
        <v>9</v>
      </c>
      <c r="H507" s="2">
        <v>11</v>
      </c>
      <c r="I507" s="2">
        <v>21</v>
      </c>
      <c r="J507" s="2">
        <v>1</v>
      </c>
      <c r="K507" s="2">
        <v>52.036999999999999</v>
      </c>
      <c r="M507" s="7">
        <f t="shared" si="497"/>
        <v>1</v>
      </c>
    </row>
    <row r="508" spans="1:13" x14ac:dyDescent="0.25">
      <c r="A508" s="1" t="str">
        <f t="shared" ref="A508:E508" si="554">A449</f>
        <v>P148</v>
      </c>
      <c r="B508" s="1">
        <f t="shared" si="554"/>
        <v>148</v>
      </c>
      <c r="C508" s="1">
        <f t="shared" si="554"/>
        <v>306</v>
      </c>
      <c r="D508" s="1">
        <f t="shared" si="554"/>
        <v>9</v>
      </c>
      <c r="E508" s="1">
        <f t="shared" si="554"/>
        <v>17</v>
      </c>
      <c r="F508" s="2">
        <f t="shared" si="491"/>
        <v>9</v>
      </c>
      <c r="H508" s="2">
        <v>9</v>
      </c>
      <c r="I508" s="2">
        <v>18</v>
      </c>
      <c r="J508" s="2">
        <v>0</v>
      </c>
      <c r="K508" s="2">
        <v>301.05599999999998</v>
      </c>
      <c r="M508" s="7">
        <f t="shared" si="497"/>
        <v>0</v>
      </c>
    </row>
    <row r="509" spans="1:13" x14ac:dyDescent="0.25">
      <c r="A509" s="1" t="str">
        <f t="shared" ref="A509:E509" si="555">A450</f>
        <v>P148</v>
      </c>
      <c r="B509" s="1">
        <f t="shared" si="555"/>
        <v>148</v>
      </c>
      <c r="C509" s="1">
        <f t="shared" si="555"/>
        <v>357</v>
      </c>
      <c r="D509" s="1">
        <f t="shared" si="555"/>
        <v>8</v>
      </c>
      <c r="E509" s="1">
        <f t="shared" si="555"/>
        <v>15</v>
      </c>
      <c r="F509" s="2">
        <f t="shared" si="491"/>
        <v>9</v>
      </c>
      <c r="H509" s="2">
        <v>8</v>
      </c>
      <c r="I509" s="2">
        <v>15</v>
      </c>
      <c r="J509" s="2">
        <v>1</v>
      </c>
      <c r="K509" s="2">
        <v>5.3010000000000002</v>
      </c>
      <c r="M509" s="7">
        <f t="shared" si="497"/>
        <v>1</v>
      </c>
    </row>
    <row r="510" spans="1:13" x14ac:dyDescent="0.25">
      <c r="A510" s="1" t="str">
        <f t="shared" ref="A510:E510" si="556">A451</f>
        <v>P148</v>
      </c>
      <c r="B510" s="1">
        <f t="shared" si="556"/>
        <v>148</v>
      </c>
      <c r="C510" s="1">
        <f t="shared" si="556"/>
        <v>378</v>
      </c>
      <c r="D510" s="1">
        <f t="shared" si="556"/>
        <v>7</v>
      </c>
      <c r="E510" s="1">
        <f t="shared" si="556"/>
        <v>14</v>
      </c>
      <c r="F510" s="2">
        <f t="shared" ref="F510:F547" si="557">F451+1</f>
        <v>9</v>
      </c>
      <c r="H510" s="2">
        <v>8</v>
      </c>
      <c r="I510" s="2">
        <v>14</v>
      </c>
      <c r="J510" s="2">
        <v>0</v>
      </c>
      <c r="K510" s="2">
        <v>301.56400000000002</v>
      </c>
      <c r="M510" s="7">
        <f t="shared" si="497"/>
        <v>0</v>
      </c>
    </row>
    <row r="511" spans="1:13" x14ac:dyDescent="0.25">
      <c r="A511" s="1" t="str">
        <f t="shared" ref="A511:E511" si="558">A452</f>
        <v>P148</v>
      </c>
      <c r="B511" s="1">
        <f t="shared" si="558"/>
        <v>148</v>
      </c>
      <c r="C511" s="1">
        <f t="shared" si="558"/>
        <v>408</v>
      </c>
      <c r="D511" s="1">
        <f t="shared" si="558"/>
        <v>7</v>
      </c>
      <c r="E511" s="1">
        <f t="shared" si="558"/>
        <v>13</v>
      </c>
      <c r="F511" s="2">
        <f t="shared" si="557"/>
        <v>9</v>
      </c>
      <c r="H511" s="2">
        <v>8</v>
      </c>
      <c r="I511" s="2">
        <v>13</v>
      </c>
      <c r="J511" s="2">
        <v>0</v>
      </c>
      <c r="K511" s="2">
        <v>301.13799999999998</v>
      </c>
      <c r="M511" s="7">
        <f t="shared" si="497"/>
        <v>0</v>
      </c>
    </row>
    <row r="512" spans="1:13" x14ac:dyDescent="0.25">
      <c r="A512" s="1" t="str">
        <f t="shared" ref="A512:E512" si="559">A453</f>
        <v>P148</v>
      </c>
      <c r="B512" s="1">
        <f t="shared" si="559"/>
        <v>148</v>
      </c>
      <c r="C512" s="1">
        <f t="shared" si="559"/>
        <v>454</v>
      </c>
      <c r="D512" s="1">
        <f t="shared" si="559"/>
        <v>6</v>
      </c>
      <c r="E512" s="1">
        <f t="shared" si="559"/>
        <v>12</v>
      </c>
      <c r="F512" s="2">
        <f t="shared" si="557"/>
        <v>9</v>
      </c>
      <c r="H512" s="2">
        <v>7</v>
      </c>
      <c r="I512" s="2">
        <v>12</v>
      </c>
      <c r="J512" s="2">
        <v>0</v>
      </c>
      <c r="K512" s="2">
        <v>300.113</v>
      </c>
      <c r="M512" s="7">
        <f t="shared" si="497"/>
        <v>0</v>
      </c>
    </row>
    <row r="513" spans="1:13" x14ac:dyDescent="0.25">
      <c r="A513" s="1" t="str">
        <f t="shared" ref="A513:E513" si="560">A454</f>
        <v>P148</v>
      </c>
      <c r="B513" s="1">
        <f t="shared" si="560"/>
        <v>148</v>
      </c>
      <c r="C513" s="1">
        <f t="shared" si="560"/>
        <v>459</v>
      </c>
      <c r="D513" s="1">
        <f t="shared" si="560"/>
        <v>6</v>
      </c>
      <c r="E513" s="1">
        <f t="shared" si="560"/>
        <v>12</v>
      </c>
      <c r="F513" s="2">
        <f t="shared" si="557"/>
        <v>9</v>
      </c>
      <c r="H513" s="2">
        <v>7</v>
      </c>
      <c r="I513" s="2">
        <v>12</v>
      </c>
      <c r="J513" s="2">
        <v>0</v>
      </c>
      <c r="K513" s="2">
        <v>301.68099999999998</v>
      </c>
      <c r="M513" s="7">
        <f t="shared" si="497"/>
        <v>0</v>
      </c>
    </row>
    <row r="514" spans="1:13" x14ac:dyDescent="0.25">
      <c r="A514" s="1" t="str">
        <f t="shared" ref="A514:E514" si="561">A455</f>
        <v>P148</v>
      </c>
      <c r="B514" s="1">
        <f t="shared" si="561"/>
        <v>148</v>
      </c>
      <c r="C514" s="1">
        <f t="shared" si="561"/>
        <v>510</v>
      </c>
      <c r="D514" s="1">
        <f t="shared" si="561"/>
        <v>6</v>
      </c>
      <c r="E514" s="1">
        <f t="shared" si="561"/>
        <v>11</v>
      </c>
      <c r="F514" s="2">
        <f t="shared" si="557"/>
        <v>9</v>
      </c>
      <c r="H514" s="2">
        <v>7</v>
      </c>
      <c r="I514" s="2">
        <v>11</v>
      </c>
      <c r="J514" s="2">
        <v>0</v>
      </c>
      <c r="K514" s="2">
        <v>300.84800000000001</v>
      </c>
      <c r="M514" s="7">
        <f t="shared" si="497"/>
        <v>0</v>
      </c>
    </row>
    <row r="515" spans="1:13" x14ac:dyDescent="0.25">
      <c r="A515" s="1" t="str">
        <f t="shared" ref="A515:E515" si="562">A456</f>
        <v>P205</v>
      </c>
      <c r="B515" s="1">
        <f t="shared" si="562"/>
        <v>205</v>
      </c>
      <c r="C515" s="1">
        <f t="shared" si="562"/>
        <v>1133</v>
      </c>
      <c r="D515" s="1">
        <f t="shared" si="562"/>
        <v>11</v>
      </c>
      <c r="E515" s="1">
        <f t="shared" si="562"/>
        <v>21</v>
      </c>
      <c r="F515" s="2">
        <f t="shared" si="557"/>
        <v>9</v>
      </c>
      <c r="H515" s="2">
        <v>11</v>
      </c>
      <c r="I515" s="2">
        <v>22</v>
      </c>
      <c r="J515" s="2">
        <v>0</v>
      </c>
      <c r="K515" s="2">
        <v>300.63799999999998</v>
      </c>
      <c r="M515" s="7">
        <f t="shared" ref="M515:M578" si="563">IF(D515*100+E515=H515*100+I515,1,0)</f>
        <v>0</v>
      </c>
    </row>
    <row r="516" spans="1:13" x14ac:dyDescent="0.25">
      <c r="A516" s="1" t="str">
        <f t="shared" ref="A516:E516" si="564">A457</f>
        <v>P205</v>
      </c>
      <c r="B516" s="1">
        <f t="shared" si="564"/>
        <v>205</v>
      </c>
      <c r="C516" s="1">
        <f t="shared" si="564"/>
        <v>1275</v>
      </c>
      <c r="D516" s="1">
        <f t="shared" si="564"/>
        <v>10</v>
      </c>
      <c r="E516" s="1">
        <f t="shared" si="564"/>
        <v>19</v>
      </c>
      <c r="F516" s="2">
        <f t="shared" si="557"/>
        <v>9</v>
      </c>
      <c r="H516" s="2">
        <v>11</v>
      </c>
      <c r="I516" s="2">
        <v>22</v>
      </c>
      <c r="J516" s="2">
        <v>0</v>
      </c>
      <c r="K516" s="2">
        <v>300.846</v>
      </c>
      <c r="M516" s="7">
        <f t="shared" si="563"/>
        <v>0</v>
      </c>
    </row>
    <row r="517" spans="1:13" x14ac:dyDescent="0.25">
      <c r="A517" s="1" t="str">
        <f t="shared" ref="A517:E517" si="565">A458</f>
        <v>P205</v>
      </c>
      <c r="B517" s="1">
        <f t="shared" si="565"/>
        <v>205</v>
      </c>
      <c r="C517" s="1">
        <f t="shared" si="565"/>
        <v>1322</v>
      </c>
      <c r="D517" s="1">
        <f t="shared" si="565"/>
        <v>9</v>
      </c>
      <c r="E517" s="1">
        <f t="shared" si="565"/>
        <v>18</v>
      </c>
      <c r="F517" s="2">
        <f t="shared" si="557"/>
        <v>9</v>
      </c>
      <c r="H517" s="2">
        <v>10</v>
      </c>
      <c r="I517" s="2">
        <v>19</v>
      </c>
      <c r="J517" s="2">
        <v>0</v>
      </c>
      <c r="K517" s="2">
        <v>300.75599999999997</v>
      </c>
      <c r="M517" s="7">
        <f t="shared" si="563"/>
        <v>0</v>
      </c>
    </row>
    <row r="518" spans="1:13" x14ac:dyDescent="0.25">
      <c r="A518" s="1" t="str">
        <f t="shared" ref="A518:E518" si="566">A459</f>
        <v>P205</v>
      </c>
      <c r="B518" s="1">
        <f t="shared" si="566"/>
        <v>205</v>
      </c>
      <c r="C518" s="1">
        <f t="shared" si="566"/>
        <v>1455</v>
      </c>
      <c r="D518" s="1">
        <f t="shared" si="566"/>
        <v>9</v>
      </c>
      <c r="E518" s="1">
        <f t="shared" si="566"/>
        <v>17</v>
      </c>
      <c r="F518" s="2">
        <f t="shared" si="557"/>
        <v>9</v>
      </c>
      <c r="H518" s="2">
        <v>10</v>
      </c>
      <c r="I518" s="2">
        <v>18</v>
      </c>
      <c r="J518" s="2">
        <v>0</v>
      </c>
      <c r="K518" s="2">
        <v>300.77100000000002</v>
      </c>
      <c r="M518" s="7">
        <f t="shared" si="563"/>
        <v>0</v>
      </c>
    </row>
    <row r="519" spans="1:13" x14ac:dyDescent="0.25">
      <c r="A519" s="1" t="str">
        <f t="shared" ref="A519:E519" si="567">A460</f>
        <v>P205</v>
      </c>
      <c r="B519" s="1">
        <f t="shared" si="567"/>
        <v>205</v>
      </c>
      <c r="C519" s="1">
        <f t="shared" si="567"/>
        <v>1510</v>
      </c>
      <c r="D519" s="1">
        <f t="shared" si="567"/>
        <v>8</v>
      </c>
      <c r="E519" s="1">
        <f t="shared" si="567"/>
        <v>16</v>
      </c>
      <c r="F519" s="2">
        <f t="shared" si="557"/>
        <v>9</v>
      </c>
      <c r="H519" s="2">
        <v>9</v>
      </c>
      <c r="I519" s="2">
        <v>18</v>
      </c>
      <c r="J519" s="2">
        <v>0</v>
      </c>
      <c r="K519" s="2">
        <v>301.05500000000001</v>
      </c>
      <c r="M519" s="7">
        <f t="shared" si="563"/>
        <v>0</v>
      </c>
    </row>
    <row r="520" spans="1:13" x14ac:dyDescent="0.25">
      <c r="A520" s="1" t="str">
        <f t="shared" ref="A520:E520" si="568">A461</f>
        <v>P205</v>
      </c>
      <c r="B520" s="1">
        <f t="shared" si="568"/>
        <v>205</v>
      </c>
      <c r="C520" s="1">
        <f t="shared" si="568"/>
        <v>1650</v>
      </c>
      <c r="D520" s="1">
        <f t="shared" si="568"/>
        <v>8</v>
      </c>
      <c r="E520" s="1">
        <f t="shared" si="568"/>
        <v>15</v>
      </c>
      <c r="F520" s="2">
        <f t="shared" si="557"/>
        <v>9</v>
      </c>
      <c r="H520" s="2">
        <v>9</v>
      </c>
      <c r="I520" s="2">
        <v>18</v>
      </c>
      <c r="J520" s="2">
        <v>0</v>
      </c>
      <c r="K520" s="2">
        <v>300.89600000000002</v>
      </c>
      <c r="M520" s="7">
        <f t="shared" si="563"/>
        <v>0</v>
      </c>
    </row>
    <row r="521" spans="1:13" x14ac:dyDescent="0.25">
      <c r="A521" s="1" t="str">
        <f t="shared" ref="A521:E521" si="569">A462</f>
        <v>P205</v>
      </c>
      <c r="B521" s="1">
        <f t="shared" si="569"/>
        <v>205</v>
      </c>
      <c r="C521" s="1">
        <f t="shared" si="569"/>
        <v>1699</v>
      </c>
      <c r="D521" s="1">
        <f t="shared" si="569"/>
        <v>7</v>
      </c>
      <c r="E521" s="1">
        <f t="shared" si="569"/>
        <v>14</v>
      </c>
      <c r="F521" s="2">
        <f t="shared" si="557"/>
        <v>9</v>
      </c>
      <c r="H521" s="2">
        <v>8</v>
      </c>
      <c r="I521" s="2">
        <v>16</v>
      </c>
      <c r="J521" s="2">
        <v>0</v>
      </c>
      <c r="K521" s="2">
        <v>300.65600000000001</v>
      </c>
      <c r="M521" s="7">
        <f t="shared" si="563"/>
        <v>0</v>
      </c>
    </row>
    <row r="522" spans="1:13" x14ac:dyDescent="0.25">
      <c r="A522" s="1" t="str">
        <f t="shared" ref="A522:E522" si="570">A463</f>
        <v>P205</v>
      </c>
      <c r="B522" s="1">
        <f t="shared" si="570"/>
        <v>205</v>
      </c>
      <c r="C522" s="1">
        <f t="shared" si="570"/>
        <v>1888</v>
      </c>
      <c r="D522" s="1">
        <f t="shared" si="570"/>
        <v>7</v>
      </c>
      <c r="E522" s="1">
        <f t="shared" si="570"/>
        <v>13</v>
      </c>
      <c r="F522" s="2">
        <f t="shared" si="557"/>
        <v>9</v>
      </c>
      <c r="H522" s="2">
        <v>8</v>
      </c>
      <c r="I522" s="2">
        <v>16</v>
      </c>
      <c r="J522" s="2">
        <v>0</v>
      </c>
      <c r="K522" s="2">
        <v>301.00700000000001</v>
      </c>
      <c r="M522" s="7">
        <f t="shared" si="563"/>
        <v>0</v>
      </c>
    </row>
    <row r="523" spans="1:13" x14ac:dyDescent="0.25">
      <c r="A523" s="1" t="str">
        <f t="shared" ref="A523:E523" si="571">A464</f>
        <v>P205</v>
      </c>
      <c r="B523" s="1">
        <f t="shared" si="571"/>
        <v>205</v>
      </c>
      <c r="C523" s="1">
        <f t="shared" si="571"/>
        <v>1920</v>
      </c>
      <c r="D523" s="1">
        <f t="shared" si="571"/>
        <v>7</v>
      </c>
      <c r="E523" s="1">
        <f t="shared" si="571"/>
        <v>13</v>
      </c>
      <c r="F523" s="2">
        <f t="shared" si="557"/>
        <v>9</v>
      </c>
      <c r="H523" s="2">
        <v>8</v>
      </c>
      <c r="I523" s="2">
        <v>16</v>
      </c>
      <c r="J523" s="2">
        <v>0</v>
      </c>
      <c r="K523" s="2">
        <v>301.00900000000001</v>
      </c>
      <c r="M523" s="7">
        <f t="shared" si="563"/>
        <v>0</v>
      </c>
    </row>
    <row r="524" spans="1:13" x14ac:dyDescent="0.25">
      <c r="A524" s="1" t="str">
        <f t="shared" ref="A524:E524" si="572">A465</f>
        <v>P205</v>
      </c>
      <c r="B524" s="1">
        <f t="shared" si="572"/>
        <v>205</v>
      </c>
      <c r="C524" s="1">
        <f t="shared" si="572"/>
        <v>2077</v>
      </c>
      <c r="D524" s="1">
        <f t="shared" si="572"/>
        <v>6</v>
      </c>
      <c r="E524" s="1">
        <f t="shared" si="572"/>
        <v>12</v>
      </c>
      <c r="F524" s="2">
        <f t="shared" si="557"/>
        <v>9</v>
      </c>
      <c r="H524" s="2">
        <v>7</v>
      </c>
      <c r="I524" s="2">
        <v>14</v>
      </c>
      <c r="J524" s="2">
        <v>0</v>
      </c>
      <c r="K524" s="2">
        <v>300.709</v>
      </c>
      <c r="M524" s="7">
        <f t="shared" si="563"/>
        <v>0</v>
      </c>
    </row>
    <row r="525" spans="1:13" x14ac:dyDescent="0.25">
      <c r="A525" s="1" t="str">
        <f t="shared" ref="A525:E525" si="573">A466</f>
        <v>P205</v>
      </c>
      <c r="B525" s="1">
        <f t="shared" si="573"/>
        <v>205</v>
      </c>
      <c r="C525" s="1">
        <f t="shared" si="573"/>
        <v>2100</v>
      </c>
      <c r="D525" s="1">
        <f t="shared" si="573"/>
        <v>6</v>
      </c>
      <c r="E525" s="1">
        <f t="shared" si="573"/>
        <v>12</v>
      </c>
      <c r="F525" s="2">
        <f t="shared" si="557"/>
        <v>9</v>
      </c>
      <c r="H525" s="2">
        <v>8</v>
      </c>
      <c r="I525" s="2">
        <v>15</v>
      </c>
      <c r="J525" s="2">
        <v>0</v>
      </c>
      <c r="K525" s="2">
        <v>300.85000000000002</v>
      </c>
      <c r="M525" s="7">
        <f t="shared" si="563"/>
        <v>0</v>
      </c>
    </row>
    <row r="526" spans="1:13" x14ac:dyDescent="0.25">
      <c r="A526" s="1" t="str">
        <f t="shared" ref="A526:E526" si="574">A467</f>
        <v>P205</v>
      </c>
      <c r="B526" s="1">
        <f t="shared" si="574"/>
        <v>205</v>
      </c>
      <c r="C526" s="1">
        <f t="shared" si="574"/>
        <v>2266</v>
      </c>
      <c r="D526" s="1">
        <f t="shared" si="574"/>
        <v>6</v>
      </c>
      <c r="E526" s="1">
        <f t="shared" si="574"/>
        <v>11</v>
      </c>
      <c r="F526" s="2">
        <f t="shared" si="557"/>
        <v>9</v>
      </c>
      <c r="H526" s="2">
        <v>7</v>
      </c>
      <c r="I526" s="2">
        <v>14</v>
      </c>
      <c r="J526" s="2">
        <v>0</v>
      </c>
      <c r="K526" s="2">
        <v>300.69600000000003</v>
      </c>
      <c r="M526" s="7">
        <f t="shared" si="563"/>
        <v>0</v>
      </c>
    </row>
    <row r="527" spans="1:13" x14ac:dyDescent="0.25">
      <c r="A527" s="1" t="str">
        <f t="shared" ref="A527:E527" si="575">A468</f>
        <v>P205</v>
      </c>
      <c r="B527" s="1">
        <f t="shared" si="575"/>
        <v>205</v>
      </c>
      <c r="C527" s="1">
        <f t="shared" si="575"/>
        <v>2300</v>
      </c>
      <c r="D527" s="1">
        <f t="shared" si="575"/>
        <v>6</v>
      </c>
      <c r="E527" s="1">
        <f t="shared" si="575"/>
        <v>11</v>
      </c>
      <c r="F527" s="2">
        <f t="shared" si="557"/>
        <v>9</v>
      </c>
      <c r="H527" s="2">
        <v>7</v>
      </c>
      <c r="I527" s="2">
        <v>14</v>
      </c>
      <c r="J527" s="2">
        <v>0</v>
      </c>
      <c r="K527" s="2">
        <v>300.92700000000002</v>
      </c>
      <c r="M527" s="7">
        <f t="shared" si="563"/>
        <v>0</v>
      </c>
    </row>
    <row r="528" spans="1:13" x14ac:dyDescent="0.25">
      <c r="A528" s="1" t="str">
        <f t="shared" ref="A528:E528" si="576">A469</f>
        <v>P205</v>
      </c>
      <c r="B528" s="1">
        <f t="shared" si="576"/>
        <v>205</v>
      </c>
      <c r="C528" s="1">
        <f t="shared" si="576"/>
        <v>2454</v>
      </c>
      <c r="D528" s="1">
        <f t="shared" si="576"/>
        <v>5</v>
      </c>
      <c r="E528" s="1">
        <f t="shared" si="576"/>
        <v>10</v>
      </c>
      <c r="F528" s="2">
        <f t="shared" si="557"/>
        <v>9</v>
      </c>
      <c r="H528" s="2">
        <v>6</v>
      </c>
      <c r="I528" s="2">
        <v>12</v>
      </c>
      <c r="J528" s="2">
        <v>0</v>
      </c>
      <c r="K528" s="2">
        <v>301.255</v>
      </c>
      <c r="M528" s="7">
        <f t="shared" si="563"/>
        <v>0</v>
      </c>
    </row>
    <row r="529" spans="1:13" x14ac:dyDescent="0.25">
      <c r="A529" s="1" t="str">
        <f t="shared" ref="A529:E529" si="577">A470</f>
        <v>P205</v>
      </c>
      <c r="B529" s="1">
        <f t="shared" si="577"/>
        <v>205</v>
      </c>
      <c r="C529" s="1">
        <f t="shared" si="577"/>
        <v>2500</v>
      </c>
      <c r="D529" s="1">
        <f t="shared" si="577"/>
        <v>5</v>
      </c>
      <c r="E529" s="1">
        <f t="shared" si="577"/>
        <v>10</v>
      </c>
      <c r="F529" s="2">
        <f t="shared" si="557"/>
        <v>9</v>
      </c>
      <c r="H529" s="2">
        <v>6</v>
      </c>
      <c r="I529" s="2">
        <v>12</v>
      </c>
      <c r="J529" s="2">
        <v>0</v>
      </c>
      <c r="K529" s="2">
        <v>301.16199999999998</v>
      </c>
      <c r="M529" s="7">
        <f t="shared" si="563"/>
        <v>0</v>
      </c>
    </row>
    <row r="530" spans="1:13" x14ac:dyDescent="0.25">
      <c r="A530" s="1" t="str">
        <f t="shared" ref="A530:E530" si="578">A471</f>
        <v>P205</v>
      </c>
      <c r="B530" s="1">
        <f t="shared" si="578"/>
        <v>205</v>
      </c>
      <c r="C530" s="1">
        <f t="shared" si="578"/>
        <v>2643</v>
      </c>
      <c r="D530" s="1">
        <f t="shared" si="578"/>
        <v>5</v>
      </c>
      <c r="E530" s="1">
        <f t="shared" si="578"/>
        <v>9</v>
      </c>
      <c r="F530" s="2">
        <f t="shared" si="557"/>
        <v>9</v>
      </c>
      <c r="H530" s="2">
        <v>6</v>
      </c>
      <c r="I530" s="2">
        <v>12</v>
      </c>
      <c r="J530" s="2">
        <v>0</v>
      </c>
      <c r="K530" s="2">
        <v>300.63200000000001</v>
      </c>
      <c r="M530" s="7">
        <f t="shared" si="563"/>
        <v>0</v>
      </c>
    </row>
    <row r="531" spans="1:13" x14ac:dyDescent="0.25">
      <c r="A531" s="1" t="str">
        <f t="shared" ref="A531:E531" si="579">A472</f>
        <v>P205</v>
      </c>
      <c r="B531" s="1">
        <f t="shared" si="579"/>
        <v>205</v>
      </c>
      <c r="C531" s="1">
        <f t="shared" si="579"/>
        <v>2800</v>
      </c>
      <c r="D531" s="1">
        <f t="shared" si="579"/>
        <v>5</v>
      </c>
      <c r="E531" s="1">
        <f t="shared" si="579"/>
        <v>9</v>
      </c>
      <c r="F531" s="2">
        <f t="shared" si="557"/>
        <v>9</v>
      </c>
      <c r="H531" s="2">
        <v>6</v>
      </c>
      <c r="I531" s="2">
        <v>12</v>
      </c>
      <c r="J531" s="2">
        <v>0</v>
      </c>
      <c r="K531" s="2">
        <v>301.16800000000001</v>
      </c>
      <c r="M531" s="7">
        <f t="shared" si="563"/>
        <v>0</v>
      </c>
    </row>
    <row r="532" spans="1:13" x14ac:dyDescent="0.25">
      <c r="A532" s="1" t="str">
        <f t="shared" ref="A532:E532" si="580">A473</f>
        <v>P205</v>
      </c>
      <c r="B532" s="1">
        <f t="shared" si="580"/>
        <v>205</v>
      </c>
      <c r="C532" s="1">
        <f t="shared" si="580"/>
        <v>2832</v>
      </c>
      <c r="D532" s="1">
        <f t="shared" si="580"/>
        <v>5</v>
      </c>
      <c r="E532" s="1">
        <f t="shared" si="580"/>
        <v>9</v>
      </c>
      <c r="F532" s="2">
        <f t="shared" si="557"/>
        <v>9</v>
      </c>
      <c r="H532" s="2">
        <v>6</v>
      </c>
      <c r="I532" s="2">
        <v>12</v>
      </c>
      <c r="J532" s="2">
        <v>0</v>
      </c>
      <c r="K532" s="2">
        <v>301.262</v>
      </c>
      <c r="M532" s="7">
        <f t="shared" si="563"/>
        <v>0</v>
      </c>
    </row>
    <row r="533" spans="1:13" x14ac:dyDescent="0.25">
      <c r="A533" s="1" t="str">
        <f t="shared" ref="A533:E533" si="581">A474</f>
        <v>P9</v>
      </c>
      <c r="B533" s="1">
        <f t="shared" si="581"/>
        <v>9</v>
      </c>
      <c r="C533" s="1">
        <f t="shared" si="581"/>
        <v>3</v>
      </c>
      <c r="D533" s="1">
        <f t="shared" si="581"/>
        <v>3</v>
      </c>
      <c r="E533" s="1">
        <f t="shared" si="581"/>
        <v>6</v>
      </c>
      <c r="F533" s="2">
        <f t="shared" si="557"/>
        <v>10</v>
      </c>
      <c r="H533" s="2">
        <v>3</v>
      </c>
      <c r="I533" s="2">
        <v>6</v>
      </c>
      <c r="J533" s="2">
        <v>1</v>
      </c>
      <c r="K533" s="2">
        <v>2E-3</v>
      </c>
      <c r="M533" s="7">
        <f t="shared" si="563"/>
        <v>1</v>
      </c>
    </row>
    <row r="534" spans="1:13" x14ac:dyDescent="0.25">
      <c r="A534" s="1" t="str">
        <f t="shared" ref="A534:E534" si="582">A475</f>
        <v>P9</v>
      </c>
      <c r="B534" s="1">
        <f t="shared" si="582"/>
        <v>9</v>
      </c>
      <c r="C534" s="1">
        <f t="shared" si="582"/>
        <v>4</v>
      </c>
      <c r="D534" s="1">
        <f t="shared" si="582"/>
        <v>3</v>
      </c>
      <c r="E534" s="1">
        <f t="shared" si="582"/>
        <v>5</v>
      </c>
      <c r="F534" s="2">
        <f t="shared" si="557"/>
        <v>10</v>
      </c>
      <c r="H534" s="2">
        <v>3</v>
      </c>
      <c r="I534" s="2">
        <v>5</v>
      </c>
      <c r="J534" s="2">
        <v>1</v>
      </c>
      <c r="K534" s="2">
        <v>6.0000000000000001E-3</v>
      </c>
      <c r="M534" s="7">
        <f t="shared" si="563"/>
        <v>1</v>
      </c>
    </row>
    <row r="535" spans="1:13" x14ac:dyDescent="0.25">
      <c r="A535" s="1" t="str">
        <f t="shared" ref="A535:E535" si="583">A476</f>
        <v>P9</v>
      </c>
      <c r="B535" s="1">
        <f t="shared" si="583"/>
        <v>9</v>
      </c>
      <c r="C535" s="1">
        <f t="shared" si="583"/>
        <v>5</v>
      </c>
      <c r="D535" s="1">
        <f t="shared" si="583"/>
        <v>2</v>
      </c>
      <c r="E535" s="1">
        <f t="shared" si="583"/>
        <v>4</v>
      </c>
      <c r="F535" s="2">
        <f t="shared" si="557"/>
        <v>10</v>
      </c>
      <c r="H535" s="2">
        <v>2</v>
      </c>
      <c r="I535" s="2">
        <v>4</v>
      </c>
      <c r="J535" s="2">
        <v>1</v>
      </c>
      <c r="K535" s="2">
        <v>2E-3</v>
      </c>
      <c r="M535" s="7">
        <f t="shared" si="563"/>
        <v>1</v>
      </c>
    </row>
    <row r="536" spans="1:13" x14ac:dyDescent="0.25">
      <c r="A536" s="1" t="str">
        <f t="shared" ref="A536:E536" si="584">A477</f>
        <v>P9</v>
      </c>
      <c r="B536" s="1">
        <f t="shared" si="584"/>
        <v>9</v>
      </c>
      <c r="C536" s="1">
        <f t="shared" si="584"/>
        <v>6</v>
      </c>
      <c r="D536" s="1">
        <f t="shared" si="584"/>
        <v>2</v>
      </c>
      <c r="E536" s="1">
        <f t="shared" si="584"/>
        <v>3</v>
      </c>
      <c r="F536" s="2">
        <f t="shared" si="557"/>
        <v>10</v>
      </c>
      <c r="H536" s="2">
        <v>2</v>
      </c>
      <c r="I536" s="2">
        <v>3</v>
      </c>
      <c r="J536" s="2">
        <v>1</v>
      </c>
      <c r="K536" s="2">
        <v>4.0000000000000001E-3</v>
      </c>
      <c r="M536" s="7">
        <f t="shared" si="563"/>
        <v>1</v>
      </c>
    </row>
    <row r="537" spans="1:13" x14ac:dyDescent="0.25">
      <c r="A537" s="1" t="str">
        <f t="shared" ref="A537:E537" si="585">A478</f>
        <v>P9</v>
      </c>
      <c r="B537" s="1">
        <f t="shared" si="585"/>
        <v>9</v>
      </c>
      <c r="C537" s="1">
        <f t="shared" si="585"/>
        <v>7</v>
      </c>
      <c r="D537" s="1">
        <f t="shared" si="585"/>
        <v>2</v>
      </c>
      <c r="E537" s="1">
        <f t="shared" si="585"/>
        <v>3</v>
      </c>
      <c r="F537" s="2">
        <f t="shared" si="557"/>
        <v>10</v>
      </c>
      <c r="H537" s="2">
        <v>2</v>
      </c>
      <c r="I537" s="2">
        <v>3</v>
      </c>
      <c r="J537" s="2">
        <v>1</v>
      </c>
      <c r="K537" s="2">
        <v>3.0000000000000001E-3</v>
      </c>
      <c r="M537" s="7">
        <f t="shared" si="563"/>
        <v>1</v>
      </c>
    </row>
    <row r="538" spans="1:13" x14ac:dyDescent="0.25">
      <c r="A538" s="1" t="str">
        <f t="shared" ref="A538:E538" si="586">A479</f>
        <v>P12</v>
      </c>
      <c r="B538" s="1">
        <f t="shared" si="586"/>
        <v>12</v>
      </c>
      <c r="C538" s="1">
        <f t="shared" si="586"/>
        <v>4</v>
      </c>
      <c r="D538" s="1">
        <f t="shared" si="586"/>
        <v>4</v>
      </c>
      <c r="E538" s="1">
        <f t="shared" si="586"/>
        <v>7</v>
      </c>
      <c r="F538" s="2">
        <f t="shared" si="557"/>
        <v>10</v>
      </c>
      <c r="H538" s="2">
        <v>4</v>
      </c>
      <c r="I538" s="2">
        <v>7</v>
      </c>
      <c r="J538" s="2">
        <v>1</v>
      </c>
      <c r="K538" s="2">
        <v>2E-3</v>
      </c>
      <c r="M538" s="7">
        <f t="shared" si="563"/>
        <v>1</v>
      </c>
    </row>
    <row r="539" spans="1:13" x14ac:dyDescent="0.25">
      <c r="A539" s="1" t="str">
        <f t="shared" ref="A539:E539" si="587">A480</f>
        <v>P12</v>
      </c>
      <c r="B539" s="1">
        <f t="shared" si="587"/>
        <v>12</v>
      </c>
      <c r="C539" s="1">
        <f t="shared" si="587"/>
        <v>5</v>
      </c>
      <c r="D539" s="1">
        <f t="shared" si="587"/>
        <v>3</v>
      </c>
      <c r="E539" s="1">
        <f t="shared" si="587"/>
        <v>6</v>
      </c>
      <c r="F539" s="2">
        <f t="shared" si="557"/>
        <v>10</v>
      </c>
      <c r="H539" s="2">
        <v>3</v>
      </c>
      <c r="I539" s="2">
        <v>6</v>
      </c>
      <c r="J539" s="2">
        <v>1</v>
      </c>
      <c r="K539" s="2">
        <v>0.58699999999999997</v>
      </c>
      <c r="M539" s="7">
        <f t="shared" si="563"/>
        <v>1</v>
      </c>
    </row>
    <row r="540" spans="1:13" x14ac:dyDescent="0.25">
      <c r="A540" s="1" t="str">
        <f t="shared" ref="A540:E540" si="588">A481</f>
        <v>P12</v>
      </c>
      <c r="B540" s="1">
        <f t="shared" si="588"/>
        <v>12</v>
      </c>
      <c r="C540" s="1">
        <f t="shared" si="588"/>
        <v>6</v>
      </c>
      <c r="D540" s="1">
        <f t="shared" si="588"/>
        <v>3</v>
      </c>
      <c r="E540" s="1">
        <f t="shared" si="588"/>
        <v>5</v>
      </c>
      <c r="F540" s="2">
        <f t="shared" si="557"/>
        <v>10</v>
      </c>
      <c r="H540" s="2">
        <v>3</v>
      </c>
      <c r="I540" s="2">
        <v>5</v>
      </c>
      <c r="J540" s="2">
        <v>1</v>
      </c>
      <c r="K540" s="2">
        <v>2E-3</v>
      </c>
      <c r="M540" s="7">
        <f t="shared" si="563"/>
        <v>1</v>
      </c>
    </row>
    <row r="541" spans="1:13" x14ac:dyDescent="0.25">
      <c r="A541" s="1" t="str">
        <f t="shared" ref="A541:E541" si="589">A482</f>
        <v>P12</v>
      </c>
      <c r="B541" s="1">
        <f t="shared" si="589"/>
        <v>12</v>
      </c>
      <c r="C541" s="1">
        <f t="shared" si="589"/>
        <v>7</v>
      </c>
      <c r="D541" s="1">
        <f t="shared" si="589"/>
        <v>2</v>
      </c>
      <c r="E541" s="1">
        <f t="shared" si="589"/>
        <v>4</v>
      </c>
      <c r="F541" s="2">
        <f t="shared" si="557"/>
        <v>10</v>
      </c>
      <c r="H541" s="2">
        <v>2</v>
      </c>
      <c r="I541" s="2">
        <v>4</v>
      </c>
      <c r="J541" s="2">
        <v>1</v>
      </c>
      <c r="K541" s="2">
        <v>3.0000000000000001E-3</v>
      </c>
      <c r="M541" s="7">
        <f t="shared" si="563"/>
        <v>1</v>
      </c>
    </row>
    <row r="542" spans="1:13" x14ac:dyDescent="0.25">
      <c r="A542" s="1" t="str">
        <f t="shared" ref="A542:E542" si="590">A483</f>
        <v>P12</v>
      </c>
      <c r="B542" s="1">
        <f t="shared" si="590"/>
        <v>12</v>
      </c>
      <c r="C542" s="1">
        <f t="shared" si="590"/>
        <v>8</v>
      </c>
      <c r="D542" s="1">
        <f t="shared" si="590"/>
        <v>2</v>
      </c>
      <c r="E542" s="1">
        <f t="shared" si="590"/>
        <v>4</v>
      </c>
      <c r="F542" s="2">
        <f t="shared" si="557"/>
        <v>10</v>
      </c>
      <c r="H542" s="2">
        <v>2</v>
      </c>
      <c r="I542" s="2">
        <v>4</v>
      </c>
      <c r="J542" s="2">
        <v>1</v>
      </c>
      <c r="K542" s="2">
        <v>4.0000000000000001E-3</v>
      </c>
      <c r="M542" s="7">
        <f t="shared" si="563"/>
        <v>1</v>
      </c>
    </row>
    <row r="543" spans="1:13" x14ac:dyDescent="0.25">
      <c r="A543" s="1" t="str">
        <f t="shared" ref="A543:E543" si="591">A484</f>
        <v>P12</v>
      </c>
      <c r="B543" s="1">
        <f t="shared" si="591"/>
        <v>12</v>
      </c>
      <c r="C543" s="1">
        <f t="shared" si="591"/>
        <v>9</v>
      </c>
      <c r="D543" s="1">
        <f t="shared" si="591"/>
        <v>2</v>
      </c>
      <c r="E543" s="1">
        <f t="shared" si="591"/>
        <v>3</v>
      </c>
      <c r="F543" s="2">
        <f t="shared" si="557"/>
        <v>10</v>
      </c>
      <c r="H543" s="2">
        <v>2</v>
      </c>
      <c r="I543" s="2">
        <v>3</v>
      </c>
      <c r="J543" s="2">
        <v>1</v>
      </c>
      <c r="K543" s="2">
        <v>0.01</v>
      </c>
      <c r="M543" s="7">
        <f t="shared" si="563"/>
        <v>1</v>
      </c>
    </row>
    <row r="544" spans="1:13" x14ac:dyDescent="0.25">
      <c r="A544" s="1" t="str">
        <f t="shared" ref="A544:E544" si="592">A485</f>
        <v>P16</v>
      </c>
      <c r="B544" s="1">
        <f t="shared" si="592"/>
        <v>16</v>
      </c>
      <c r="C544" s="1">
        <f t="shared" si="592"/>
        <v>15</v>
      </c>
      <c r="D544" s="1">
        <f t="shared" si="592"/>
        <v>4</v>
      </c>
      <c r="E544" s="1">
        <f t="shared" si="592"/>
        <v>6</v>
      </c>
      <c r="F544" s="2">
        <f t="shared" si="557"/>
        <v>10</v>
      </c>
      <c r="H544" s="2">
        <v>4</v>
      </c>
      <c r="I544" s="2">
        <v>6</v>
      </c>
      <c r="J544" s="2">
        <v>1</v>
      </c>
      <c r="K544" s="2">
        <v>0.66800000000000004</v>
      </c>
      <c r="M544" s="7">
        <f t="shared" si="563"/>
        <v>1</v>
      </c>
    </row>
    <row r="545" spans="1:13" x14ac:dyDescent="0.25">
      <c r="A545" s="1" t="str">
        <f t="shared" ref="A545:E545" si="593">A486</f>
        <v>P16</v>
      </c>
      <c r="B545" s="1">
        <f t="shared" si="593"/>
        <v>16</v>
      </c>
      <c r="C545" s="1">
        <f t="shared" si="593"/>
        <v>16</v>
      </c>
      <c r="D545" s="1">
        <f t="shared" si="593"/>
        <v>3</v>
      </c>
      <c r="E545" s="1">
        <f t="shared" si="593"/>
        <v>6</v>
      </c>
      <c r="F545" s="2">
        <f t="shared" si="557"/>
        <v>10</v>
      </c>
      <c r="H545" s="2">
        <v>3</v>
      </c>
      <c r="I545" s="2">
        <v>6</v>
      </c>
      <c r="J545" s="2">
        <v>1</v>
      </c>
      <c r="K545" s="2">
        <v>3.0000000000000001E-3</v>
      </c>
      <c r="M545" s="7">
        <f t="shared" si="563"/>
        <v>1</v>
      </c>
    </row>
    <row r="546" spans="1:13" x14ac:dyDescent="0.25">
      <c r="A546" s="1" t="str">
        <f t="shared" ref="A546:E546" si="594">A487</f>
        <v>P16</v>
      </c>
      <c r="B546" s="1">
        <f t="shared" si="594"/>
        <v>16</v>
      </c>
      <c r="C546" s="1">
        <f t="shared" si="594"/>
        <v>18</v>
      </c>
      <c r="D546" s="1">
        <f t="shared" si="594"/>
        <v>3</v>
      </c>
      <c r="E546" s="1">
        <f t="shared" si="594"/>
        <v>6</v>
      </c>
      <c r="F546" s="2">
        <f t="shared" si="557"/>
        <v>10</v>
      </c>
      <c r="H546" s="2">
        <v>3</v>
      </c>
      <c r="I546" s="2">
        <v>6</v>
      </c>
      <c r="J546" s="2">
        <v>1</v>
      </c>
      <c r="K546" s="2">
        <v>0.77</v>
      </c>
      <c r="M546" s="7">
        <f t="shared" si="563"/>
        <v>1</v>
      </c>
    </row>
    <row r="547" spans="1:13" x14ac:dyDescent="0.25">
      <c r="A547" s="1" t="str">
        <f t="shared" ref="A547:E547" si="595">A488</f>
        <v>P16</v>
      </c>
      <c r="B547" s="1">
        <f t="shared" si="595"/>
        <v>16</v>
      </c>
      <c r="C547" s="1">
        <f t="shared" si="595"/>
        <v>19</v>
      </c>
      <c r="D547" s="1">
        <f t="shared" si="595"/>
        <v>3</v>
      </c>
      <c r="E547" s="1">
        <f t="shared" si="595"/>
        <v>5</v>
      </c>
      <c r="F547" s="2">
        <f t="shared" si="557"/>
        <v>10</v>
      </c>
      <c r="H547" s="2">
        <v>3</v>
      </c>
      <c r="I547" s="2">
        <v>5</v>
      </c>
      <c r="J547" s="2">
        <v>1</v>
      </c>
      <c r="K547" s="2">
        <v>0.55800000000000005</v>
      </c>
      <c r="M547" s="7">
        <f t="shared" si="563"/>
        <v>1</v>
      </c>
    </row>
    <row r="548" spans="1:13" x14ac:dyDescent="0.25">
      <c r="A548" s="1" t="str">
        <f t="shared" ref="A548:E548" si="596">A489</f>
        <v>P16</v>
      </c>
      <c r="B548" s="1">
        <f t="shared" si="596"/>
        <v>16</v>
      </c>
      <c r="C548" s="1">
        <f t="shared" si="596"/>
        <v>20</v>
      </c>
      <c r="D548" s="1">
        <f t="shared" si="596"/>
        <v>3</v>
      </c>
      <c r="E548" s="1">
        <f t="shared" si="596"/>
        <v>5</v>
      </c>
      <c r="F548" s="2">
        <f>F489+1</f>
        <v>10</v>
      </c>
      <c r="H548" s="2">
        <v>3</v>
      </c>
      <c r="I548" s="2">
        <v>5</v>
      </c>
      <c r="J548" s="2">
        <v>1</v>
      </c>
      <c r="K548" s="2">
        <v>0.69599999999999995</v>
      </c>
      <c r="M548" s="7">
        <f t="shared" si="563"/>
        <v>1</v>
      </c>
    </row>
    <row r="549" spans="1:13" x14ac:dyDescent="0.25">
      <c r="A549" s="1" t="str">
        <f t="shared" ref="A549:E549" si="597">A490</f>
        <v>P16</v>
      </c>
      <c r="B549" s="1">
        <f t="shared" si="597"/>
        <v>16</v>
      </c>
      <c r="C549" s="1">
        <f t="shared" si="597"/>
        <v>21</v>
      </c>
      <c r="D549" s="1">
        <f t="shared" si="597"/>
        <v>3</v>
      </c>
      <c r="E549" s="1">
        <f t="shared" si="597"/>
        <v>5</v>
      </c>
      <c r="F549" s="2">
        <f t="shared" ref="F549:F591" si="598">F490+1</f>
        <v>10</v>
      </c>
      <c r="H549" s="2">
        <v>3</v>
      </c>
      <c r="I549" s="2">
        <v>5</v>
      </c>
      <c r="J549" s="2">
        <v>1</v>
      </c>
      <c r="K549" s="2">
        <v>0.82299999999999995</v>
      </c>
      <c r="M549" s="7">
        <f t="shared" si="563"/>
        <v>1</v>
      </c>
    </row>
    <row r="550" spans="1:13" x14ac:dyDescent="0.25">
      <c r="A550" s="1" t="str">
        <f t="shared" ref="A550:E550" si="599">A491</f>
        <v>P16</v>
      </c>
      <c r="B550" s="1">
        <f t="shared" si="599"/>
        <v>16</v>
      </c>
      <c r="C550" s="1">
        <f t="shared" si="599"/>
        <v>22</v>
      </c>
      <c r="D550" s="1">
        <f t="shared" si="599"/>
        <v>2</v>
      </c>
      <c r="E550" s="1">
        <f t="shared" si="599"/>
        <v>4</v>
      </c>
      <c r="F550" s="2">
        <f t="shared" si="598"/>
        <v>10</v>
      </c>
      <c r="H550" s="2">
        <v>2</v>
      </c>
      <c r="I550" s="2">
        <v>4</v>
      </c>
      <c r="J550" s="2">
        <v>1</v>
      </c>
      <c r="K550" s="2">
        <v>0.01</v>
      </c>
      <c r="M550" s="7">
        <f t="shared" si="563"/>
        <v>1</v>
      </c>
    </row>
    <row r="551" spans="1:13" x14ac:dyDescent="0.25">
      <c r="A551" s="1" t="str">
        <f t="shared" ref="A551:E551" si="600">A492</f>
        <v>P24</v>
      </c>
      <c r="B551" s="1">
        <f t="shared" si="600"/>
        <v>24</v>
      </c>
      <c r="C551" s="1">
        <f t="shared" si="600"/>
        <v>18</v>
      </c>
      <c r="D551" s="1">
        <f t="shared" si="600"/>
        <v>4</v>
      </c>
      <c r="E551" s="1">
        <f t="shared" si="600"/>
        <v>8</v>
      </c>
      <c r="F551" s="2">
        <f t="shared" si="598"/>
        <v>10</v>
      </c>
      <c r="H551" s="2">
        <v>4</v>
      </c>
      <c r="I551" s="2">
        <v>8</v>
      </c>
      <c r="J551" s="2">
        <v>1</v>
      </c>
      <c r="K551" s="2">
        <v>4.5999999999999999E-2</v>
      </c>
      <c r="M551" s="7">
        <f t="shared" si="563"/>
        <v>1</v>
      </c>
    </row>
    <row r="552" spans="1:13" x14ac:dyDescent="0.25">
      <c r="A552" s="1" t="str">
        <f t="shared" ref="A552:E552" si="601">A493</f>
        <v>P24</v>
      </c>
      <c r="B552" s="1">
        <f t="shared" si="601"/>
        <v>24</v>
      </c>
      <c r="C552" s="1">
        <f t="shared" si="601"/>
        <v>20</v>
      </c>
      <c r="D552" s="1">
        <f t="shared" si="601"/>
        <v>4</v>
      </c>
      <c r="E552" s="1">
        <f t="shared" si="601"/>
        <v>7</v>
      </c>
      <c r="F552" s="2">
        <f t="shared" si="598"/>
        <v>10</v>
      </c>
      <c r="H552" s="2">
        <v>4</v>
      </c>
      <c r="I552" s="2">
        <v>7</v>
      </c>
      <c r="J552" s="2">
        <v>1</v>
      </c>
      <c r="K552" s="2">
        <v>4.8129999999999997</v>
      </c>
      <c r="M552" s="7">
        <f t="shared" si="563"/>
        <v>1</v>
      </c>
    </row>
    <row r="553" spans="1:13" x14ac:dyDescent="0.25">
      <c r="A553" s="1" t="str">
        <f t="shared" ref="A553:E553" si="602">A494</f>
        <v>P24</v>
      </c>
      <c r="B553" s="1">
        <f t="shared" si="602"/>
        <v>24</v>
      </c>
      <c r="C553" s="1">
        <f t="shared" si="602"/>
        <v>24</v>
      </c>
      <c r="D553" s="1">
        <f t="shared" si="602"/>
        <v>3</v>
      </c>
      <c r="E553" s="1">
        <f t="shared" si="602"/>
        <v>6</v>
      </c>
      <c r="F553" s="2">
        <f t="shared" si="598"/>
        <v>10</v>
      </c>
      <c r="H553" s="2">
        <v>3</v>
      </c>
      <c r="I553" s="2">
        <v>6</v>
      </c>
      <c r="J553" s="2">
        <v>1</v>
      </c>
      <c r="K553" s="2">
        <v>4.4999999999999998E-2</v>
      </c>
      <c r="M553" s="7">
        <f t="shared" si="563"/>
        <v>1</v>
      </c>
    </row>
    <row r="554" spans="1:13" x14ac:dyDescent="0.25">
      <c r="A554" s="1" t="str">
        <f t="shared" ref="A554:E554" si="603">A495</f>
        <v>P24</v>
      </c>
      <c r="B554" s="1">
        <f t="shared" si="603"/>
        <v>24</v>
      </c>
      <c r="C554" s="1">
        <f t="shared" si="603"/>
        <v>25</v>
      </c>
      <c r="D554" s="1">
        <f t="shared" si="603"/>
        <v>3</v>
      </c>
      <c r="E554" s="1">
        <f t="shared" si="603"/>
        <v>6</v>
      </c>
      <c r="F554" s="2">
        <f t="shared" si="598"/>
        <v>10</v>
      </c>
      <c r="H554" s="2">
        <v>3</v>
      </c>
      <c r="I554" s="2">
        <v>6</v>
      </c>
      <c r="J554" s="2">
        <v>1</v>
      </c>
      <c r="K554" s="2">
        <v>4.5999999999999999E-2</v>
      </c>
      <c r="M554" s="7">
        <f t="shared" si="563"/>
        <v>1</v>
      </c>
    </row>
    <row r="555" spans="1:13" x14ac:dyDescent="0.25">
      <c r="A555" s="1" t="str">
        <f t="shared" ref="A555:E555" si="604">A496</f>
        <v>P24</v>
      </c>
      <c r="B555" s="1">
        <f t="shared" si="604"/>
        <v>24</v>
      </c>
      <c r="C555" s="1">
        <f t="shared" si="604"/>
        <v>30</v>
      </c>
      <c r="D555" s="1">
        <f t="shared" si="604"/>
        <v>3</v>
      </c>
      <c r="E555" s="1">
        <f t="shared" si="604"/>
        <v>5</v>
      </c>
      <c r="F555" s="2">
        <f t="shared" si="598"/>
        <v>10</v>
      </c>
      <c r="H555" s="2">
        <v>3</v>
      </c>
      <c r="I555" s="2">
        <v>5</v>
      </c>
      <c r="J555" s="2">
        <v>1</v>
      </c>
      <c r="K555" s="2">
        <v>4.8000000000000001E-2</v>
      </c>
      <c r="M555" s="7">
        <f t="shared" si="563"/>
        <v>1</v>
      </c>
    </row>
    <row r="556" spans="1:13" x14ac:dyDescent="0.25">
      <c r="A556" s="1" t="str">
        <f t="shared" ref="A556:E556" si="605">A497</f>
        <v>P24</v>
      </c>
      <c r="B556" s="1">
        <f t="shared" si="605"/>
        <v>24</v>
      </c>
      <c r="C556" s="1">
        <f t="shared" si="605"/>
        <v>35</v>
      </c>
      <c r="D556" s="1">
        <f t="shared" si="605"/>
        <v>2</v>
      </c>
      <c r="E556" s="1">
        <f t="shared" si="605"/>
        <v>4</v>
      </c>
      <c r="F556" s="2">
        <f t="shared" si="598"/>
        <v>10</v>
      </c>
      <c r="H556" s="2">
        <v>2</v>
      </c>
      <c r="I556" s="2">
        <v>4</v>
      </c>
      <c r="J556" s="2">
        <v>1</v>
      </c>
      <c r="K556" s="2">
        <v>5.1999999999999998E-2</v>
      </c>
      <c r="M556" s="7">
        <f t="shared" si="563"/>
        <v>1</v>
      </c>
    </row>
    <row r="557" spans="1:13" x14ac:dyDescent="0.25">
      <c r="A557" s="1" t="str">
        <f t="shared" ref="A557:E557" si="606">A498</f>
        <v>P24</v>
      </c>
      <c r="B557" s="1">
        <f t="shared" si="606"/>
        <v>24</v>
      </c>
      <c r="C557" s="1">
        <f t="shared" si="606"/>
        <v>40</v>
      </c>
      <c r="D557" s="1">
        <f t="shared" si="606"/>
        <v>2</v>
      </c>
      <c r="E557" s="1">
        <f t="shared" si="606"/>
        <v>4</v>
      </c>
      <c r="F557" s="2">
        <f t="shared" si="598"/>
        <v>10</v>
      </c>
      <c r="H557" s="2">
        <v>2</v>
      </c>
      <c r="I557" s="2">
        <v>4</v>
      </c>
      <c r="J557" s="2">
        <v>1</v>
      </c>
      <c r="K557" s="2">
        <v>5.2999999999999999E-2</v>
      </c>
      <c r="M557" s="7">
        <f t="shared" si="563"/>
        <v>1</v>
      </c>
    </row>
    <row r="558" spans="1:13" x14ac:dyDescent="0.25">
      <c r="A558" s="1" t="str">
        <f t="shared" ref="A558:E558" si="607">A499</f>
        <v>P65</v>
      </c>
      <c r="B558" s="1">
        <f t="shared" si="607"/>
        <v>65</v>
      </c>
      <c r="C558" s="1">
        <f t="shared" si="607"/>
        <v>326</v>
      </c>
      <c r="D558" s="1">
        <f t="shared" si="607"/>
        <v>8</v>
      </c>
      <c r="E558" s="1">
        <f t="shared" si="607"/>
        <v>16</v>
      </c>
      <c r="F558" s="2">
        <f t="shared" si="598"/>
        <v>10</v>
      </c>
      <c r="H558" s="2">
        <v>8</v>
      </c>
      <c r="I558" s="2">
        <v>16</v>
      </c>
      <c r="J558" s="2">
        <v>1</v>
      </c>
      <c r="K558" s="2">
        <v>0.16700000000000001</v>
      </c>
      <c r="M558" s="7">
        <f t="shared" si="563"/>
        <v>1</v>
      </c>
    </row>
    <row r="559" spans="1:13" x14ac:dyDescent="0.25">
      <c r="A559" s="1" t="str">
        <f t="shared" ref="A559:E559" si="608">A500</f>
        <v>P65</v>
      </c>
      <c r="B559" s="1">
        <f t="shared" si="608"/>
        <v>65</v>
      </c>
      <c r="C559" s="1">
        <f t="shared" si="608"/>
        <v>381</v>
      </c>
      <c r="D559" s="1">
        <f t="shared" si="608"/>
        <v>7</v>
      </c>
      <c r="E559" s="1">
        <f t="shared" si="608"/>
        <v>14</v>
      </c>
      <c r="F559" s="2">
        <f t="shared" si="598"/>
        <v>10</v>
      </c>
      <c r="H559" s="2">
        <v>7</v>
      </c>
      <c r="I559" s="2">
        <v>14</v>
      </c>
      <c r="J559" s="2">
        <v>1</v>
      </c>
      <c r="K559" s="2">
        <v>0.155</v>
      </c>
      <c r="M559" s="7">
        <f t="shared" si="563"/>
        <v>1</v>
      </c>
    </row>
    <row r="560" spans="1:13" x14ac:dyDescent="0.25">
      <c r="A560" s="1" t="str">
        <f t="shared" ref="A560:E560" si="609">A501</f>
        <v>P65</v>
      </c>
      <c r="B560" s="1">
        <f t="shared" si="609"/>
        <v>65</v>
      </c>
      <c r="C560" s="1">
        <f t="shared" si="609"/>
        <v>435</v>
      </c>
      <c r="D560" s="1">
        <f t="shared" si="609"/>
        <v>6</v>
      </c>
      <c r="E560" s="1">
        <f t="shared" si="609"/>
        <v>12</v>
      </c>
      <c r="F560" s="2">
        <f t="shared" si="598"/>
        <v>10</v>
      </c>
      <c r="H560" s="2">
        <v>6</v>
      </c>
      <c r="I560" s="2">
        <v>12</v>
      </c>
      <c r="J560" s="2">
        <v>1</v>
      </c>
      <c r="K560" s="2">
        <v>5.0449999999999999</v>
      </c>
      <c r="M560" s="7">
        <f t="shared" si="563"/>
        <v>1</v>
      </c>
    </row>
    <row r="561" spans="1:13" x14ac:dyDescent="0.25">
      <c r="A561" s="1" t="str">
        <f t="shared" ref="A561:E561" si="610">A502</f>
        <v>P65</v>
      </c>
      <c r="B561" s="1">
        <f t="shared" si="610"/>
        <v>65</v>
      </c>
      <c r="C561" s="1">
        <f t="shared" si="610"/>
        <v>490</v>
      </c>
      <c r="D561" s="1">
        <f t="shared" si="610"/>
        <v>6</v>
      </c>
      <c r="E561" s="1">
        <f t="shared" si="610"/>
        <v>11</v>
      </c>
      <c r="F561" s="2">
        <f t="shared" si="598"/>
        <v>10</v>
      </c>
      <c r="H561" s="2">
        <v>6</v>
      </c>
      <c r="I561" s="2">
        <v>11</v>
      </c>
      <c r="J561" s="2">
        <v>1</v>
      </c>
      <c r="K561" s="2">
        <v>8.8070000000000004</v>
      </c>
      <c r="M561" s="7">
        <f t="shared" si="563"/>
        <v>1</v>
      </c>
    </row>
    <row r="562" spans="1:13" x14ac:dyDescent="0.25">
      <c r="A562" s="1" t="str">
        <f t="shared" ref="A562:E562" si="611">A503</f>
        <v>P65</v>
      </c>
      <c r="B562" s="1">
        <f t="shared" si="611"/>
        <v>65</v>
      </c>
      <c r="C562" s="1">
        <f t="shared" si="611"/>
        <v>512</v>
      </c>
      <c r="D562" s="1">
        <f t="shared" si="611"/>
        <v>5</v>
      </c>
      <c r="E562" s="1">
        <f t="shared" si="611"/>
        <v>10</v>
      </c>
      <c r="F562" s="2">
        <f t="shared" si="598"/>
        <v>10</v>
      </c>
      <c r="H562" s="2">
        <v>6</v>
      </c>
      <c r="I562" s="2">
        <v>10</v>
      </c>
      <c r="J562" s="2">
        <v>0</v>
      </c>
      <c r="K562" s="2">
        <v>300.04000000000002</v>
      </c>
      <c r="M562" s="7">
        <f t="shared" si="563"/>
        <v>0</v>
      </c>
    </row>
    <row r="563" spans="1:13" x14ac:dyDescent="0.25">
      <c r="A563" s="1" t="str">
        <f t="shared" ref="A563:E563" si="612">A504</f>
        <v>P65</v>
      </c>
      <c r="B563" s="1">
        <f t="shared" si="612"/>
        <v>65</v>
      </c>
      <c r="C563" s="1">
        <f t="shared" si="612"/>
        <v>544</v>
      </c>
      <c r="D563" s="1">
        <f t="shared" si="612"/>
        <v>5</v>
      </c>
      <c r="E563" s="1">
        <f t="shared" si="612"/>
        <v>10</v>
      </c>
      <c r="F563" s="2">
        <f t="shared" si="598"/>
        <v>10</v>
      </c>
      <c r="H563" s="2">
        <v>5</v>
      </c>
      <c r="I563" s="2">
        <v>10</v>
      </c>
      <c r="J563" s="2">
        <v>1</v>
      </c>
      <c r="K563" s="2">
        <v>11.840999999999999</v>
      </c>
      <c r="M563" s="7">
        <f t="shared" si="563"/>
        <v>1</v>
      </c>
    </row>
    <row r="564" spans="1:13" x14ac:dyDescent="0.25">
      <c r="A564" s="1" t="str">
        <f t="shared" ref="A564:E564" si="613">A505</f>
        <v>P148</v>
      </c>
      <c r="B564" s="1">
        <f t="shared" si="613"/>
        <v>148</v>
      </c>
      <c r="C564" s="1">
        <f t="shared" si="613"/>
        <v>204</v>
      </c>
      <c r="D564" s="1">
        <f t="shared" si="613"/>
        <v>13</v>
      </c>
      <c r="E564" s="1">
        <f t="shared" si="613"/>
        <v>26</v>
      </c>
      <c r="F564" s="2">
        <f t="shared" si="598"/>
        <v>10</v>
      </c>
      <c r="H564" s="2">
        <v>14</v>
      </c>
      <c r="I564" s="2">
        <v>26</v>
      </c>
      <c r="J564" s="2">
        <v>0</v>
      </c>
      <c r="K564" s="2">
        <v>300.928</v>
      </c>
      <c r="M564" s="7">
        <f t="shared" si="563"/>
        <v>0</v>
      </c>
    </row>
    <row r="565" spans="1:13" x14ac:dyDescent="0.25">
      <c r="A565" s="1" t="str">
        <f t="shared" ref="A565:E565" si="614">A506</f>
        <v>P148</v>
      </c>
      <c r="B565" s="1">
        <f t="shared" si="614"/>
        <v>148</v>
      </c>
      <c r="C565" s="1">
        <f t="shared" si="614"/>
        <v>228</v>
      </c>
      <c r="D565" s="1">
        <f t="shared" si="614"/>
        <v>12</v>
      </c>
      <c r="E565" s="1">
        <f t="shared" si="614"/>
        <v>23</v>
      </c>
      <c r="F565" s="2">
        <f t="shared" si="598"/>
        <v>10</v>
      </c>
      <c r="H565" s="2">
        <v>12</v>
      </c>
      <c r="I565" s="2">
        <v>23</v>
      </c>
      <c r="J565" s="2">
        <v>1</v>
      </c>
      <c r="K565" s="2">
        <v>144.55500000000001</v>
      </c>
      <c r="M565" s="7">
        <f t="shared" si="563"/>
        <v>1</v>
      </c>
    </row>
    <row r="566" spans="1:13" x14ac:dyDescent="0.25">
      <c r="A566" s="1" t="str">
        <f t="shared" ref="A566:E566" si="615">A507</f>
        <v>P148</v>
      </c>
      <c r="B566" s="1">
        <f t="shared" si="615"/>
        <v>148</v>
      </c>
      <c r="C566" s="1">
        <f t="shared" si="615"/>
        <v>255</v>
      </c>
      <c r="D566" s="1">
        <f t="shared" si="615"/>
        <v>11</v>
      </c>
      <c r="E566" s="1">
        <f t="shared" si="615"/>
        <v>21</v>
      </c>
      <c r="F566" s="2">
        <f t="shared" si="598"/>
        <v>10</v>
      </c>
      <c r="H566" s="2">
        <v>11</v>
      </c>
      <c r="I566" s="2">
        <v>21</v>
      </c>
      <c r="J566" s="2">
        <v>1</v>
      </c>
      <c r="K566" s="2">
        <v>48.347000000000001</v>
      </c>
      <c r="M566" s="7">
        <f t="shared" si="563"/>
        <v>1</v>
      </c>
    </row>
    <row r="567" spans="1:13" x14ac:dyDescent="0.25">
      <c r="A567" s="1" t="str">
        <f t="shared" ref="A567:E567" si="616">A508</f>
        <v>P148</v>
      </c>
      <c r="B567" s="1">
        <f t="shared" si="616"/>
        <v>148</v>
      </c>
      <c r="C567" s="1">
        <f t="shared" si="616"/>
        <v>306</v>
      </c>
      <c r="D567" s="1">
        <f t="shared" si="616"/>
        <v>9</v>
      </c>
      <c r="E567" s="1">
        <f t="shared" si="616"/>
        <v>17</v>
      </c>
      <c r="F567" s="2">
        <f t="shared" si="598"/>
        <v>10</v>
      </c>
      <c r="H567" s="2">
        <v>9</v>
      </c>
      <c r="I567" s="2">
        <v>18</v>
      </c>
      <c r="J567" s="2">
        <v>0</v>
      </c>
      <c r="K567" s="2">
        <v>301.08199999999999</v>
      </c>
      <c r="M567" s="7">
        <f t="shared" si="563"/>
        <v>0</v>
      </c>
    </row>
    <row r="568" spans="1:13" x14ac:dyDescent="0.25">
      <c r="A568" s="1" t="str">
        <f t="shared" ref="A568:E568" si="617">A509</f>
        <v>P148</v>
      </c>
      <c r="B568" s="1">
        <f t="shared" si="617"/>
        <v>148</v>
      </c>
      <c r="C568" s="1">
        <f t="shared" si="617"/>
        <v>357</v>
      </c>
      <c r="D568" s="1">
        <f t="shared" si="617"/>
        <v>8</v>
      </c>
      <c r="E568" s="1">
        <f t="shared" si="617"/>
        <v>15</v>
      </c>
      <c r="F568" s="2">
        <f t="shared" si="598"/>
        <v>10</v>
      </c>
      <c r="H568" s="2">
        <v>8</v>
      </c>
      <c r="I568" s="2">
        <v>15</v>
      </c>
      <c r="J568" s="2">
        <v>1</v>
      </c>
      <c r="K568" s="2">
        <v>5.3490000000000002</v>
      </c>
      <c r="M568" s="7">
        <f t="shared" si="563"/>
        <v>1</v>
      </c>
    </row>
    <row r="569" spans="1:13" x14ac:dyDescent="0.25">
      <c r="A569" s="1" t="str">
        <f t="shared" ref="A569:E569" si="618">A510</f>
        <v>P148</v>
      </c>
      <c r="B569" s="1">
        <f t="shared" si="618"/>
        <v>148</v>
      </c>
      <c r="C569" s="1">
        <f t="shared" si="618"/>
        <v>378</v>
      </c>
      <c r="D569" s="1">
        <f t="shared" si="618"/>
        <v>7</v>
      </c>
      <c r="E569" s="1">
        <f t="shared" si="618"/>
        <v>14</v>
      </c>
      <c r="F569" s="2">
        <f t="shared" si="598"/>
        <v>10</v>
      </c>
      <c r="H569" s="2">
        <v>8</v>
      </c>
      <c r="I569" s="2">
        <v>14</v>
      </c>
      <c r="J569" s="2">
        <v>0</v>
      </c>
      <c r="K569" s="2">
        <v>301.21300000000002</v>
      </c>
      <c r="M569" s="7">
        <f t="shared" si="563"/>
        <v>0</v>
      </c>
    </row>
    <row r="570" spans="1:13" x14ac:dyDescent="0.25">
      <c r="A570" s="1" t="str">
        <f t="shared" ref="A570:E570" si="619">A511</f>
        <v>P148</v>
      </c>
      <c r="B570" s="1">
        <f t="shared" si="619"/>
        <v>148</v>
      </c>
      <c r="C570" s="1">
        <f t="shared" si="619"/>
        <v>408</v>
      </c>
      <c r="D570" s="1">
        <f t="shared" si="619"/>
        <v>7</v>
      </c>
      <c r="E570" s="1">
        <f t="shared" si="619"/>
        <v>13</v>
      </c>
      <c r="F570" s="2">
        <f t="shared" si="598"/>
        <v>10</v>
      </c>
      <c r="H570" s="2">
        <v>8</v>
      </c>
      <c r="I570" s="2">
        <v>13</v>
      </c>
      <c r="J570" s="2">
        <v>0</v>
      </c>
      <c r="K570" s="2">
        <v>300.91199999999998</v>
      </c>
      <c r="M570" s="7">
        <f t="shared" si="563"/>
        <v>0</v>
      </c>
    </row>
    <row r="571" spans="1:13" x14ac:dyDescent="0.25">
      <c r="A571" s="1" t="str">
        <f t="shared" ref="A571:E571" si="620">A512</f>
        <v>P148</v>
      </c>
      <c r="B571" s="1">
        <f t="shared" si="620"/>
        <v>148</v>
      </c>
      <c r="C571" s="1">
        <f t="shared" si="620"/>
        <v>454</v>
      </c>
      <c r="D571" s="1">
        <f t="shared" si="620"/>
        <v>6</v>
      </c>
      <c r="E571" s="1">
        <f t="shared" si="620"/>
        <v>12</v>
      </c>
      <c r="F571" s="2">
        <f t="shared" si="598"/>
        <v>10</v>
      </c>
      <c r="H571" s="2">
        <v>7</v>
      </c>
      <c r="I571" s="2">
        <v>12</v>
      </c>
      <c r="J571" s="2">
        <v>0</v>
      </c>
      <c r="K571" s="2">
        <v>300.10000000000002</v>
      </c>
      <c r="M571" s="7">
        <f t="shared" si="563"/>
        <v>0</v>
      </c>
    </row>
    <row r="572" spans="1:13" x14ac:dyDescent="0.25">
      <c r="A572" s="1" t="str">
        <f t="shared" ref="A572:E572" si="621">A513</f>
        <v>P148</v>
      </c>
      <c r="B572" s="1">
        <f t="shared" si="621"/>
        <v>148</v>
      </c>
      <c r="C572" s="1">
        <f t="shared" si="621"/>
        <v>459</v>
      </c>
      <c r="D572" s="1">
        <f t="shared" si="621"/>
        <v>6</v>
      </c>
      <c r="E572" s="1">
        <f t="shared" si="621"/>
        <v>12</v>
      </c>
      <c r="F572" s="2">
        <f t="shared" si="598"/>
        <v>10</v>
      </c>
      <c r="H572" s="2">
        <v>7</v>
      </c>
      <c r="I572" s="2">
        <v>12</v>
      </c>
      <c r="J572" s="2">
        <v>0</v>
      </c>
      <c r="K572" s="2">
        <v>301.15199999999999</v>
      </c>
      <c r="M572" s="7">
        <f t="shared" si="563"/>
        <v>0</v>
      </c>
    </row>
    <row r="573" spans="1:13" x14ac:dyDescent="0.25">
      <c r="A573" s="1" t="str">
        <f t="shared" ref="A573:E573" si="622">A514</f>
        <v>P148</v>
      </c>
      <c r="B573" s="1">
        <f t="shared" si="622"/>
        <v>148</v>
      </c>
      <c r="C573" s="1">
        <f t="shared" si="622"/>
        <v>510</v>
      </c>
      <c r="D573" s="1">
        <f t="shared" si="622"/>
        <v>6</v>
      </c>
      <c r="E573" s="1">
        <f t="shared" si="622"/>
        <v>11</v>
      </c>
      <c r="F573" s="2">
        <f t="shared" si="598"/>
        <v>10</v>
      </c>
      <c r="H573" s="2">
        <v>7</v>
      </c>
      <c r="I573" s="2">
        <v>11</v>
      </c>
      <c r="J573" s="2">
        <v>0</v>
      </c>
      <c r="K573" s="2">
        <v>300.91500000000002</v>
      </c>
      <c r="M573" s="7">
        <f t="shared" si="563"/>
        <v>0</v>
      </c>
    </row>
    <row r="574" spans="1:13" x14ac:dyDescent="0.25">
      <c r="A574" s="1" t="str">
        <f t="shared" ref="A574:E574" si="623">A515</f>
        <v>P205</v>
      </c>
      <c r="B574" s="1">
        <f t="shared" si="623"/>
        <v>205</v>
      </c>
      <c r="C574" s="1">
        <f t="shared" si="623"/>
        <v>1133</v>
      </c>
      <c r="D574" s="1">
        <f t="shared" si="623"/>
        <v>11</v>
      </c>
      <c r="E574" s="1">
        <f t="shared" si="623"/>
        <v>21</v>
      </c>
      <c r="F574" s="2">
        <f t="shared" si="598"/>
        <v>10</v>
      </c>
      <c r="H574" s="2">
        <v>11</v>
      </c>
      <c r="I574" s="2">
        <v>22</v>
      </c>
      <c r="J574" s="2">
        <v>0</v>
      </c>
      <c r="K574" s="2">
        <v>300.69</v>
      </c>
      <c r="M574" s="7">
        <f t="shared" si="563"/>
        <v>0</v>
      </c>
    </row>
    <row r="575" spans="1:13" x14ac:dyDescent="0.25">
      <c r="A575" s="1" t="str">
        <f t="shared" ref="A575:E575" si="624">A516</f>
        <v>P205</v>
      </c>
      <c r="B575" s="1">
        <f t="shared" si="624"/>
        <v>205</v>
      </c>
      <c r="C575" s="1">
        <f t="shared" si="624"/>
        <v>1275</v>
      </c>
      <c r="D575" s="1">
        <f t="shared" si="624"/>
        <v>10</v>
      </c>
      <c r="E575" s="1">
        <f t="shared" si="624"/>
        <v>19</v>
      </c>
      <c r="F575" s="2">
        <f t="shared" si="598"/>
        <v>10</v>
      </c>
      <c r="H575" s="2">
        <v>11</v>
      </c>
      <c r="I575" s="2">
        <v>22</v>
      </c>
      <c r="J575" s="2">
        <v>0</v>
      </c>
      <c r="K575" s="2">
        <v>300.846</v>
      </c>
      <c r="M575" s="7">
        <f t="shared" si="563"/>
        <v>0</v>
      </c>
    </row>
    <row r="576" spans="1:13" x14ac:dyDescent="0.25">
      <c r="A576" s="1" t="str">
        <f t="shared" ref="A576:E576" si="625">A517</f>
        <v>P205</v>
      </c>
      <c r="B576" s="1">
        <f t="shared" si="625"/>
        <v>205</v>
      </c>
      <c r="C576" s="1">
        <f t="shared" si="625"/>
        <v>1322</v>
      </c>
      <c r="D576" s="1">
        <f t="shared" si="625"/>
        <v>9</v>
      </c>
      <c r="E576" s="1">
        <f t="shared" si="625"/>
        <v>18</v>
      </c>
      <c r="F576" s="2">
        <f t="shared" si="598"/>
        <v>10</v>
      </c>
      <c r="H576" s="2">
        <v>10</v>
      </c>
      <c r="I576" s="2">
        <v>19</v>
      </c>
      <c r="J576" s="2">
        <v>0</v>
      </c>
      <c r="K576" s="2">
        <v>301.07100000000003</v>
      </c>
      <c r="M576" s="7">
        <f t="shared" si="563"/>
        <v>0</v>
      </c>
    </row>
    <row r="577" spans="1:13" x14ac:dyDescent="0.25">
      <c r="A577" s="1" t="str">
        <f t="shared" ref="A577:E577" si="626">A518</f>
        <v>P205</v>
      </c>
      <c r="B577" s="1">
        <f t="shared" si="626"/>
        <v>205</v>
      </c>
      <c r="C577" s="1">
        <f t="shared" si="626"/>
        <v>1455</v>
      </c>
      <c r="D577" s="1">
        <f t="shared" si="626"/>
        <v>9</v>
      </c>
      <c r="E577" s="1">
        <f t="shared" si="626"/>
        <v>17</v>
      </c>
      <c r="F577" s="2">
        <f t="shared" si="598"/>
        <v>10</v>
      </c>
      <c r="H577" s="2">
        <v>10</v>
      </c>
      <c r="I577" s="2">
        <v>18</v>
      </c>
      <c r="J577" s="2">
        <v>0</v>
      </c>
      <c r="K577" s="2">
        <v>300.625</v>
      </c>
      <c r="M577" s="7">
        <f t="shared" si="563"/>
        <v>0</v>
      </c>
    </row>
    <row r="578" spans="1:13" x14ac:dyDescent="0.25">
      <c r="A578" s="1" t="str">
        <f t="shared" ref="A578:E578" si="627">A519</f>
        <v>P205</v>
      </c>
      <c r="B578" s="1">
        <f t="shared" si="627"/>
        <v>205</v>
      </c>
      <c r="C578" s="1">
        <f t="shared" si="627"/>
        <v>1510</v>
      </c>
      <c r="D578" s="1">
        <f t="shared" si="627"/>
        <v>8</v>
      </c>
      <c r="E578" s="1">
        <f t="shared" si="627"/>
        <v>16</v>
      </c>
      <c r="F578" s="2">
        <f t="shared" si="598"/>
        <v>10</v>
      </c>
      <c r="H578" s="2">
        <v>9</v>
      </c>
      <c r="I578" s="2">
        <v>18</v>
      </c>
      <c r="J578" s="2">
        <v>0</v>
      </c>
      <c r="K578" s="2">
        <v>300.61099999999999</v>
      </c>
      <c r="M578" s="7">
        <f t="shared" si="563"/>
        <v>0</v>
      </c>
    </row>
    <row r="579" spans="1:13" x14ac:dyDescent="0.25">
      <c r="A579" s="1" t="str">
        <f t="shared" ref="A579:E579" si="628">A520</f>
        <v>P205</v>
      </c>
      <c r="B579" s="1">
        <f t="shared" si="628"/>
        <v>205</v>
      </c>
      <c r="C579" s="1">
        <f t="shared" si="628"/>
        <v>1650</v>
      </c>
      <c r="D579" s="1">
        <f t="shared" si="628"/>
        <v>8</v>
      </c>
      <c r="E579" s="1">
        <f t="shared" si="628"/>
        <v>15</v>
      </c>
      <c r="F579" s="2">
        <f t="shared" si="598"/>
        <v>10</v>
      </c>
      <c r="H579" s="2">
        <v>9</v>
      </c>
      <c r="I579" s="2">
        <v>18</v>
      </c>
      <c r="J579" s="2">
        <v>0</v>
      </c>
      <c r="K579" s="2">
        <v>301.29000000000002</v>
      </c>
      <c r="M579" s="7">
        <f t="shared" ref="M579:M591" si="629">IF(D579*100+E579=H579*100+I579,1,0)</f>
        <v>0</v>
      </c>
    </row>
    <row r="580" spans="1:13" x14ac:dyDescent="0.25">
      <c r="A580" s="1" t="str">
        <f t="shared" ref="A580:E580" si="630">A521</f>
        <v>P205</v>
      </c>
      <c r="B580" s="1">
        <f t="shared" si="630"/>
        <v>205</v>
      </c>
      <c r="C580" s="1">
        <f t="shared" si="630"/>
        <v>1699</v>
      </c>
      <c r="D580" s="1">
        <f t="shared" si="630"/>
        <v>7</v>
      </c>
      <c r="E580" s="1">
        <f t="shared" si="630"/>
        <v>14</v>
      </c>
      <c r="F580" s="2">
        <f t="shared" si="598"/>
        <v>10</v>
      </c>
      <c r="H580" s="2">
        <v>8</v>
      </c>
      <c r="I580" s="2">
        <v>16</v>
      </c>
      <c r="J580" s="2">
        <v>0</v>
      </c>
      <c r="K580" s="2">
        <v>300.49599999999998</v>
      </c>
      <c r="M580" s="7">
        <f t="shared" si="629"/>
        <v>0</v>
      </c>
    </row>
    <row r="581" spans="1:13" x14ac:dyDescent="0.25">
      <c r="A581" s="1" t="str">
        <f t="shared" ref="A581:E581" si="631">A522</f>
        <v>P205</v>
      </c>
      <c r="B581" s="1">
        <f t="shared" si="631"/>
        <v>205</v>
      </c>
      <c r="C581" s="1">
        <f t="shared" si="631"/>
        <v>1888</v>
      </c>
      <c r="D581" s="1">
        <f t="shared" si="631"/>
        <v>7</v>
      </c>
      <c r="E581" s="1">
        <f t="shared" si="631"/>
        <v>13</v>
      </c>
      <c r="F581" s="2">
        <f t="shared" si="598"/>
        <v>10</v>
      </c>
      <c r="H581" s="2">
        <v>8</v>
      </c>
      <c r="I581" s="2">
        <v>16</v>
      </c>
      <c r="J581" s="2">
        <v>0</v>
      </c>
      <c r="K581" s="2">
        <v>301.16000000000003</v>
      </c>
      <c r="M581" s="7">
        <f t="shared" si="629"/>
        <v>0</v>
      </c>
    </row>
    <row r="582" spans="1:13" x14ac:dyDescent="0.25">
      <c r="A582" s="1" t="str">
        <f t="shared" ref="A582:E582" si="632">A523</f>
        <v>P205</v>
      </c>
      <c r="B582" s="1">
        <f t="shared" si="632"/>
        <v>205</v>
      </c>
      <c r="C582" s="1">
        <f t="shared" si="632"/>
        <v>1920</v>
      </c>
      <c r="D582" s="1">
        <f t="shared" si="632"/>
        <v>7</v>
      </c>
      <c r="E582" s="1">
        <f t="shared" si="632"/>
        <v>13</v>
      </c>
      <c r="F582" s="2">
        <f t="shared" si="598"/>
        <v>10</v>
      </c>
      <c r="H582" s="2">
        <v>8</v>
      </c>
      <c r="I582" s="2">
        <v>16</v>
      </c>
      <c r="J582" s="2">
        <v>0</v>
      </c>
      <c r="K582" s="2">
        <v>300.8</v>
      </c>
      <c r="M582" s="7">
        <f t="shared" si="629"/>
        <v>0</v>
      </c>
    </row>
    <row r="583" spans="1:13" x14ac:dyDescent="0.25">
      <c r="A583" s="1" t="str">
        <f t="shared" ref="A583:E583" si="633">A524</f>
        <v>P205</v>
      </c>
      <c r="B583" s="1">
        <f t="shared" si="633"/>
        <v>205</v>
      </c>
      <c r="C583" s="1">
        <f t="shared" si="633"/>
        <v>2077</v>
      </c>
      <c r="D583" s="1">
        <f t="shared" si="633"/>
        <v>6</v>
      </c>
      <c r="E583" s="1">
        <f t="shared" si="633"/>
        <v>12</v>
      </c>
      <c r="F583" s="2">
        <f t="shared" si="598"/>
        <v>10</v>
      </c>
      <c r="H583" s="2">
        <v>7</v>
      </c>
      <c r="I583" s="2">
        <v>14</v>
      </c>
      <c r="J583" s="2">
        <v>0</v>
      </c>
      <c r="K583" s="2">
        <v>300.86900000000003</v>
      </c>
      <c r="M583" s="7">
        <f t="shared" si="629"/>
        <v>0</v>
      </c>
    </row>
    <row r="584" spans="1:13" x14ac:dyDescent="0.25">
      <c r="A584" s="1" t="str">
        <f t="shared" ref="A584:E584" si="634">A525</f>
        <v>P205</v>
      </c>
      <c r="B584" s="1">
        <f t="shared" si="634"/>
        <v>205</v>
      </c>
      <c r="C584" s="1">
        <f t="shared" si="634"/>
        <v>2100</v>
      </c>
      <c r="D584" s="1">
        <f t="shared" si="634"/>
        <v>6</v>
      </c>
      <c r="E584" s="1">
        <f t="shared" si="634"/>
        <v>12</v>
      </c>
      <c r="F584" s="2">
        <f t="shared" si="598"/>
        <v>10</v>
      </c>
      <c r="H584" s="2">
        <v>8</v>
      </c>
      <c r="I584" s="2">
        <v>15</v>
      </c>
      <c r="J584" s="2">
        <v>0</v>
      </c>
      <c r="K584" s="2">
        <v>300.86500000000001</v>
      </c>
      <c r="M584" s="7">
        <f t="shared" si="629"/>
        <v>0</v>
      </c>
    </row>
    <row r="585" spans="1:13" x14ac:dyDescent="0.25">
      <c r="A585" s="1" t="str">
        <f t="shared" ref="A585:E585" si="635">A526</f>
        <v>P205</v>
      </c>
      <c r="B585" s="1">
        <f t="shared" si="635"/>
        <v>205</v>
      </c>
      <c r="C585" s="1">
        <f t="shared" si="635"/>
        <v>2266</v>
      </c>
      <c r="D585" s="1">
        <f t="shared" si="635"/>
        <v>6</v>
      </c>
      <c r="E585" s="1">
        <f t="shared" si="635"/>
        <v>11</v>
      </c>
      <c r="F585" s="2">
        <f t="shared" si="598"/>
        <v>10</v>
      </c>
      <c r="H585" s="2">
        <v>7</v>
      </c>
      <c r="I585" s="2">
        <v>14</v>
      </c>
      <c r="J585" s="2">
        <v>0</v>
      </c>
      <c r="K585" s="2">
        <v>301.01</v>
      </c>
      <c r="M585" s="7">
        <f t="shared" si="629"/>
        <v>0</v>
      </c>
    </row>
    <row r="586" spans="1:13" x14ac:dyDescent="0.25">
      <c r="A586" s="1" t="str">
        <f t="shared" ref="A586:E586" si="636">A527</f>
        <v>P205</v>
      </c>
      <c r="B586" s="1">
        <f t="shared" si="636"/>
        <v>205</v>
      </c>
      <c r="C586" s="1">
        <f t="shared" si="636"/>
        <v>2300</v>
      </c>
      <c r="D586" s="1">
        <f t="shared" si="636"/>
        <v>6</v>
      </c>
      <c r="E586" s="1">
        <f t="shared" si="636"/>
        <v>11</v>
      </c>
      <c r="F586" s="2">
        <f t="shared" si="598"/>
        <v>10</v>
      </c>
      <c r="H586" s="2">
        <v>7</v>
      </c>
      <c r="I586" s="2">
        <v>14</v>
      </c>
      <c r="J586" s="2">
        <v>0</v>
      </c>
      <c r="K586" s="2">
        <v>300.69099999999997</v>
      </c>
      <c r="M586" s="7">
        <f t="shared" si="629"/>
        <v>0</v>
      </c>
    </row>
    <row r="587" spans="1:13" x14ac:dyDescent="0.25">
      <c r="A587" s="1" t="str">
        <f t="shared" ref="A587:E587" si="637">A528</f>
        <v>P205</v>
      </c>
      <c r="B587" s="1">
        <f t="shared" si="637"/>
        <v>205</v>
      </c>
      <c r="C587" s="1">
        <f t="shared" si="637"/>
        <v>2454</v>
      </c>
      <c r="D587" s="1">
        <f t="shared" si="637"/>
        <v>5</v>
      </c>
      <c r="E587" s="1">
        <f t="shared" si="637"/>
        <v>10</v>
      </c>
      <c r="F587" s="2">
        <f t="shared" si="598"/>
        <v>10</v>
      </c>
      <c r="H587" s="2">
        <v>6</v>
      </c>
      <c r="I587" s="2">
        <v>12</v>
      </c>
      <c r="J587" s="2">
        <v>0</v>
      </c>
      <c r="K587" s="2">
        <v>301.24700000000001</v>
      </c>
      <c r="M587" s="7">
        <f t="shared" si="629"/>
        <v>0</v>
      </c>
    </row>
    <row r="588" spans="1:13" x14ac:dyDescent="0.25">
      <c r="A588" s="1" t="str">
        <f t="shared" ref="A588:E588" si="638">A529</f>
        <v>P205</v>
      </c>
      <c r="B588" s="1">
        <f t="shared" si="638"/>
        <v>205</v>
      </c>
      <c r="C588" s="1">
        <f t="shared" si="638"/>
        <v>2500</v>
      </c>
      <c r="D588" s="1">
        <f t="shared" si="638"/>
        <v>5</v>
      </c>
      <c r="E588" s="1">
        <f t="shared" si="638"/>
        <v>10</v>
      </c>
      <c r="F588" s="2">
        <f t="shared" si="598"/>
        <v>10</v>
      </c>
      <c r="H588" s="2">
        <v>6</v>
      </c>
      <c r="I588" s="2">
        <v>12</v>
      </c>
      <c r="J588" s="2">
        <v>0</v>
      </c>
      <c r="K588" s="2">
        <v>301.18299999999999</v>
      </c>
      <c r="M588" s="7">
        <f t="shared" si="629"/>
        <v>0</v>
      </c>
    </row>
    <row r="589" spans="1:13" x14ac:dyDescent="0.25">
      <c r="A589" s="1" t="str">
        <f t="shared" ref="A589:E589" si="639">A530</f>
        <v>P205</v>
      </c>
      <c r="B589" s="1">
        <f t="shared" si="639"/>
        <v>205</v>
      </c>
      <c r="C589" s="1">
        <f t="shared" si="639"/>
        <v>2643</v>
      </c>
      <c r="D589" s="1">
        <f t="shared" si="639"/>
        <v>5</v>
      </c>
      <c r="E589" s="1">
        <f t="shared" si="639"/>
        <v>9</v>
      </c>
      <c r="F589" s="2">
        <f t="shared" si="598"/>
        <v>10</v>
      </c>
      <c r="H589" s="2">
        <v>6</v>
      </c>
      <c r="I589" s="2">
        <v>12</v>
      </c>
      <c r="J589" s="2">
        <v>0</v>
      </c>
      <c r="K589" s="2">
        <v>300.68700000000001</v>
      </c>
      <c r="M589" s="7">
        <f t="shared" si="629"/>
        <v>0</v>
      </c>
    </row>
    <row r="590" spans="1:13" x14ac:dyDescent="0.25">
      <c r="A590" s="1" t="str">
        <f t="shared" ref="A590:E590" si="640">A531</f>
        <v>P205</v>
      </c>
      <c r="B590" s="1">
        <f t="shared" si="640"/>
        <v>205</v>
      </c>
      <c r="C590" s="1">
        <f t="shared" si="640"/>
        <v>2800</v>
      </c>
      <c r="D590" s="1">
        <f t="shared" si="640"/>
        <v>5</v>
      </c>
      <c r="E590" s="1">
        <f t="shared" si="640"/>
        <v>9</v>
      </c>
      <c r="F590" s="2">
        <f t="shared" si="598"/>
        <v>10</v>
      </c>
      <c r="H590" s="2">
        <v>6</v>
      </c>
      <c r="I590" s="2">
        <v>12</v>
      </c>
      <c r="J590" s="2">
        <v>0</v>
      </c>
      <c r="K590" s="2">
        <v>300.96199999999999</v>
      </c>
      <c r="M590" s="7">
        <f t="shared" si="629"/>
        <v>0</v>
      </c>
    </row>
    <row r="591" spans="1:13" x14ac:dyDescent="0.25">
      <c r="A591" s="1" t="str">
        <f t="shared" ref="A591:E591" si="641">A532</f>
        <v>P205</v>
      </c>
      <c r="B591" s="1">
        <f t="shared" si="641"/>
        <v>205</v>
      </c>
      <c r="C591" s="1">
        <f t="shared" si="641"/>
        <v>2832</v>
      </c>
      <c r="D591" s="1">
        <f t="shared" si="641"/>
        <v>5</v>
      </c>
      <c r="E591" s="1">
        <f t="shared" si="641"/>
        <v>9</v>
      </c>
      <c r="F591" s="2">
        <f t="shared" si="598"/>
        <v>10</v>
      </c>
      <c r="H591" s="2">
        <v>6</v>
      </c>
      <c r="I591" s="2">
        <v>12</v>
      </c>
      <c r="J591" s="2">
        <v>0</v>
      </c>
      <c r="K591" s="2">
        <v>300.84699999999998</v>
      </c>
      <c r="M591" s="7">
        <f t="shared" si="629"/>
        <v>0</v>
      </c>
    </row>
    <row r="592" spans="1:13" x14ac:dyDescent="0.25">
      <c r="A592" s="1"/>
      <c r="B592" s="1"/>
      <c r="C592" s="1"/>
      <c r="D592" s="1"/>
      <c r="E592" s="1"/>
      <c r="F592" s="2"/>
    </row>
    <row r="593" spans="1:6" x14ac:dyDescent="0.25">
      <c r="A593" s="1"/>
      <c r="B593" s="1"/>
      <c r="C593" s="1"/>
      <c r="D593" s="1"/>
      <c r="E593" s="1"/>
      <c r="F593" s="2"/>
    </row>
    <row r="594" spans="1:6" x14ac:dyDescent="0.25">
      <c r="A594" s="1"/>
      <c r="B594" s="1"/>
      <c r="C594" s="1"/>
      <c r="D594" s="1"/>
      <c r="E594" s="1"/>
      <c r="F594" s="2"/>
    </row>
    <row r="595" spans="1:6" x14ac:dyDescent="0.25">
      <c r="A595" s="1"/>
      <c r="B595" s="1"/>
      <c r="C595" s="1"/>
      <c r="D595" s="1"/>
      <c r="E595" s="1"/>
      <c r="F595" s="2"/>
    </row>
    <row r="596" spans="1:6" x14ac:dyDescent="0.25">
      <c r="A596" s="1"/>
      <c r="B596" s="1"/>
      <c r="C596" s="1"/>
      <c r="D596" s="1"/>
      <c r="E596" s="1"/>
      <c r="F596" s="2"/>
    </row>
    <row r="597" spans="1:6" x14ac:dyDescent="0.25">
      <c r="A597" s="1"/>
      <c r="B597" s="1"/>
      <c r="C597" s="1"/>
      <c r="D597" s="1"/>
      <c r="E597" s="1"/>
      <c r="F597" s="2"/>
    </row>
    <row r="598" spans="1:6" x14ac:dyDescent="0.25">
      <c r="A598" s="1"/>
      <c r="B598" s="1"/>
      <c r="C598" s="1"/>
      <c r="D598" s="1"/>
      <c r="E598" s="1"/>
      <c r="F598" s="2"/>
    </row>
    <row r="599" spans="1:6" x14ac:dyDescent="0.25">
      <c r="A599" s="1"/>
      <c r="B599" s="1"/>
      <c r="C599" s="1"/>
      <c r="D599" s="1"/>
      <c r="E599" s="1"/>
      <c r="F599" s="2"/>
    </row>
    <row r="600" spans="1:6" x14ac:dyDescent="0.25">
      <c r="A600" s="1"/>
      <c r="B600" s="1"/>
      <c r="C600" s="1"/>
      <c r="D600" s="1"/>
      <c r="E600" s="1"/>
      <c r="F600" s="2"/>
    </row>
    <row r="601" spans="1:6" x14ac:dyDescent="0.25">
      <c r="A601" s="1"/>
      <c r="B601" s="1"/>
      <c r="C601" s="1"/>
      <c r="D601" s="1"/>
      <c r="E601" s="1"/>
      <c r="F601" s="2"/>
    </row>
    <row r="602" spans="1:6" x14ac:dyDescent="0.25">
      <c r="A602" s="1"/>
      <c r="B602" s="1"/>
      <c r="C602" s="1"/>
      <c r="D602" s="1"/>
      <c r="E602" s="1"/>
      <c r="F602" s="2"/>
    </row>
    <row r="603" spans="1:6" x14ac:dyDescent="0.25">
      <c r="A603" s="1"/>
      <c r="B603" s="1"/>
      <c r="C603" s="1"/>
      <c r="D603" s="1"/>
      <c r="E603" s="1"/>
      <c r="F603" s="2"/>
    </row>
    <row r="604" spans="1:6" x14ac:dyDescent="0.25">
      <c r="A604" s="1"/>
      <c r="B604" s="1"/>
      <c r="C604" s="1"/>
      <c r="D604" s="1"/>
      <c r="E604" s="1"/>
      <c r="F604" s="2"/>
    </row>
    <row r="605" spans="1:6" x14ac:dyDescent="0.25">
      <c r="A605" s="1"/>
      <c r="B605" s="1"/>
      <c r="C605" s="1"/>
      <c r="D605" s="1"/>
      <c r="E605" s="1"/>
      <c r="F605" s="2"/>
    </row>
    <row r="606" spans="1:6" x14ac:dyDescent="0.25">
      <c r="A606" s="1"/>
      <c r="B606" s="1"/>
      <c r="C606" s="1"/>
      <c r="D606" s="1"/>
      <c r="E606" s="1"/>
      <c r="F606" s="2"/>
    </row>
    <row r="607" spans="1:6" x14ac:dyDescent="0.25">
      <c r="A607" s="1"/>
      <c r="B607" s="1"/>
      <c r="C607" s="1"/>
      <c r="D607" s="1"/>
      <c r="E607" s="1"/>
      <c r="F607" s="2"/>
    </row>
    <row r="608" spans="1:6" x14ac:dyDescent="0.25">
      <c r="A608" s="1"/>
      <c r="B608" s="1"/>
      <c r="C608" s="1"/>
      <c r="D608" s="1"/>
      <c r="E608" s="1"/>
      <c r="F608" s="2"/>
    </row>
    <row r="609" spans="1:6" x14ac:dyDescent="0.25">
      <c r="A609" s="1"/>
      <c r="B609" s="1"/>
      <c r="C609" s="1"/>
      <c r="D609" s="1"/>
      <c r="E609" s="1"/>
      <c r="F609" s="2"/>
    </row>
    <row r="610" spans="1:6" x14ac:dyDescent="0.25">
      <c r="A610" s="1"/>
      <c r="B610" s="1"/>
      <c r="C610" s="1"/>
      <c r="D610" s="1"/>
      <c r="E610" s="1"/>
      <c r="F610" s="2"/>
    </row>
    <row r="611" spans="1:6" x14ac:dyDescent="0.25">
      <c r="A611" s="1"/>
      <c r="B611" s="1"/>
      <c r="C611" s="1"/>
      <c r="D611" s="1"/>
      <c r="E611" s="1"/>
      <c r="F611" s="2"/>
    </row>
    <row r="612" spans="1:6" x14ac:dyDescent="0.25">
      <c r="A612" s="1"/>
      <c r="B612" s="1"/>
      <c r="C612" s="1"/>
      <c r="D612" s="1"/>
      <c r="E612" s="1"/>
      <c r="F612" s="2"/>
    </row>
    <row r="613" spans="1:6" x14ac:dyDescent="0.25">
      <c r="A613" s="1"/>
      <c r="B613" s="1"/>
      <c r="C613" s="1"/>
      <c r="D613" s="1"/>
      <c r="E613" s="1"/>
      <c r="F613" s="2"/>
    </row>
    <row r="614" spans="1:6" x14ac:dyDescent="0.25">
      <c r="A614" s="1"/>
      <c r="B614" s="1"/>
      <c r="C614" s="1"/>
      <c r="D614" s="1"/>
      <c r="E614" s="1"/>
      <c r="F614" s="2"/>
    </row>
    <row r="615" spans="1:6" x14ac:dyDescent="0.25">
      <c r="A615" s="1"/>
      <c r="B615" s="1"/>
      <c r="C615" s="1"/>
      <c r="D615" s="1"/>
      <c r="E615" s="1"/>
      <c r="F615" s="2"/>
    </row>
    <row r="616" spans="1:6" x14ac:dyDescent="0.25">
      <c r="A616" s="1"/>
      <c r="B616" s="1"/>
      <c r="C616" s="1"/>
      <c r="D616" s="1"/>
      <c r="E616" s="1"/>
      <c r="F616" s="2"/>
    </row>
    <row r="617" spans="1:6" x14ac:dyDescent="0.25">
      <c r="A617" s="1"/>
      <c r="B617" s="1"/>
      <c r="C617" s="1"/>
      <c r="D617" s="1"/>
      <c r="E617" s="1"/>
      <c r="F617" s="2"/>
    </row>
    <row r="618" spans="1:6" x14ac:dyDescent="0.25">
      <c r="A618" s="1"/>
      <c r="B618" s="1"/>
      <c r="C618" s="1"/>
      <c r="D618" s="1"/>
      <c r="E618" s="1"/>
      <c r="F618" s="2"/>
    </row>
    <row r="619" spans="1:6" x14ac:dyDescent="0.25">
      <c r="A619" s="1"/>
      <c r="B619" s="1"/>
      <c r="C619" s="1"/>
      <c r="D619" s="1"/>
      <c r="E619" s="1"/>
      <c r="F619" s="2"/>
    </row>
    <row r="620" spans="1:6" x14ac:dyDescent="0.25">
      <c r="A620" s="1"/>
      <c r="B620" s="1"/>
      <c r="C620" s="1"/>
      <c r="D620" s="1"/>
      <c r="E620" s="1"/>
      <c r="F620" s="2"/>
    </row>
    <row r="621" spans="1:6" x14ac:dyDescent="0.25">
      <c r="A621" s="1"/>
      <c r="B621" s="1"/>
      <c r="C621" s="1"/>
      <c r="D621" s="1"/>
      <c r="E621" s="1"/>
      <c r="F621" s="2"/>
    </row>
    <row r="622" spans="1:6" x14ac:dyDescent="0.25">
      <c r="A622" s="1"/>
      <c r="B622" s="1"/>
      <c r="C622" s="1"/>
      <c r="D622" s="1"/>
      <c r="E622" s="1"/>
      <c r="F622" s="2"/>
    </row>
    <row r="623" spans="1:6" x14ac:dyDescent="0.25">
      <c r="A623" s="1"/>
      <c r="B623" s="1"/>
      <c r="C623" s="1"/>
      <c r="D623" s="1"/>
      <c r="E623" s="1"/>
      <c r="F623" s="2"/>
    </row>
    <row r="624" spans="1:6" x14ac:dyDescent="0.25">
      <c r="A624" s="1"/>
      <c r="B624" s="1"/>
      <c r="C624" s="1"/>
      <c r="D624" s="1"/>
      <c r="E624" s="1"/>
      <c r="F624" s="2"/>
    </row>
    <row r="625" spans="1:6" x14ac:dyDescent="0.25">
      <c r="A625" s="1"/>
      <c r="B625" s="1"/>
      <c r="C625" s="1"/>
      <c r="D625" s="1"/>
      <c r="E625" s="1"/>
      <c r="F625" s="2"/>
    </row>
    <row r="626" spans="1:6" x14ac:dyDescent="0.25">
      <c r="A626" s="1"/>
      <c r="B626" s="1"/>
      <c r="C626" s="1"/>
      <c r="D626" s="1"/>
      <c r="E626" s="1"/>
      <c r="F626" s="2"/>
    </row>
    <row r="627" spans="1:6" x14ac:dyDescent="0.25">
      <c r="A627" s="1"/>
      <c r="B627" s="1"/>
      <c r="C627" s="1"/>
      <c r="D627" s="1"/>
      <c r="E627" s="1"/>
      <c r="F627" s="2"/>
    </row>
    <row r="628" spans="1:6" x14ac:dyDescent="0.25">
      <c r="A628" s="1"/>
      <c r="B628" s="1"/>
      <c r="C628" s="1"/>
      <c r="D628" s="1"/>
      <c r="E628" s="1"/>
      <c r="F628" s="2"/>
    </row>
    <row r="629" spans="1:6" x14ac:dyDescent="0.25">
      <c r="A629" s="1"/>
      <c r="B629" s="1"/>
      <c r="C629" s="1"/>
      <c r="D629" s="1"/>
      <c r="E629" s="1"/>
      <c r="F629" s="2"/>
    </row>
    <row r="630" spans="1:6" x14ac:dyDescent="0.25">
      <c r="A630" s="1"/>
      <c r="B630" s="1"/>
      <c r="C630" s="1"/>
      <c r="D630" s="1"/>
      <c r="E630" s="1"/>
      <c r="F630" s="2"/>
    </row>
    <row r="631" spans="1:6" x14ac:dyDescent="0.25">
      <c r="A631" s="1"/>
      <c r="B631" s="1"/>
      <c r="C631" s="1"/>
      <c r="D631" s="1"/>
      <c r="E631" s="1"/>
      <c r="F631" s="2"/>
    </row>
    <row r="632" spans="1:6" x14ac:dyDescent="0.25">
      <c r="A632" s="1"/>
      <c r="B632" s="1"/>
      <c r="C632" s="1"/>
      <c r="D632" s="1"/>
      <c r="E632" s="1"/>
      <c r="F632" s="2"/>
    </row>
    <row r="633" spans="1:6" x14ac:dyDescent="0.25">
      <c r="A633" s="1"/>
      <c r="B633" s="1"/>
      <c r="C633" s="1"/>
      <c r="D633" s="1"/>
      <c r="E633" s="1"/>
      <c r="F633" s="2"/>
    </row>
    <row r="634" spans="1:6" x14ac:dyDescent="0.25">
      <c r="A634" s="1"/>
      <c r="B634" s="1"/>
      <c r="C634" s="1"/>
      <c r="D634" s="1"/>
      <c r="E634" s="1"/>
      <c r="F634" s="2"/>
    </row>
    <row r="635" spans="1:6" x14ac:dyDescent="0.25">
      <c r="A635" s="1"/>
      <c r="B635" s="1"/>
      <c r="C635" s="1"/>
      <c r="D635" s="1"/>
      <c r="E635" s="1"/>
      <c r="F635" s="2"/>
    </row>
    <row r="636" spans="1:6" x14ac:dyDescent="0.25">
      <c r="A636" s="1"/>
      <c r="B636" s="1"/>
      <c r="C636" s="1"/>
      <c r="D636" s="1"/>
      <c r="E636" s="1"/>
      <c r="F636" s="2"/>
    </row>
    <row r="637" spans="1:6" x14ac:dyDescent="0.25">
      <c r="A637" s="1"/>
      <c r="B637" s="1"/>
      <c r="C637" s="1"/>
      <c r="D637" s="1"/>
      <c r="E637" s="1"/>
      <c r="F637" s="2"/>
    </row>
    <row r="638" spans="1:6" x14ac:dyDescent="0.25">
      <c r="A638" s="1"/>
      <c r="B638" s="1"/>
      <c r="C638" s="1"/>
      <c r="D638" s="1"/>
      <c r="E638" s="1"/>
      <c r="F638" s="2"/>
    </row>
    <row r="639" spans="1:6" x14ac:dyDescent="0.25">
      <c r="A639" s="1"/>
      <c r="B639" s="1"/>
      <c r="C639" s="1"/>
      <c r="D639" s="1"/>
      <c r="E639" s="1"/>
      <c r="F639" s="2"/>
    </row>
    <row r="640" spans="1:6" x14ac:dyDescent="0.25">
      <c r="A640" s="1"/>
      <c r="B640" s="1"/>
      <c r="C640" s="1"/>
      <c r="D640" s="1"/>
      <c r="E640" s="1"/>
      <c r="F640" s="2"/>
    </row>
    <row r="641" spans="1:6" x14ac:dyDescent="0.25">
      <c r="A641" s="1"/>
      <c r="B641" s="1"/>
      <c r="C641" s="1"/>
      <c r="D641" s="1"/>
      <c r="E641" s="1"/>
      <c r="F641" s="2"/>
    </row>
    <row r="642" spans="1:6" x14ac:dyDescent="0.25">
      <c r="A642" s="1"/>
      <c r="B642" s="1"/>
      <c r="C642" s="1"/>
      <c r="D642" s="1"/>
      <c r="E642" s="1"/>
      <c r="F642" s="2"/>
    </row>
    <row r="643" spans="1:6" x14ac:dyDescent="0.25">
      <c r="A643" s="1"/>
      <c r="B643" s="1"/>
      <c r="C643" s="1"/>
      <c r="D643" s="1"/>
      <c r="E643" s="1"/>
      <c r="F643" s="2"/>
    </row>
    <row r="644" spans="1:6" x14ac:dyDescent="0.25">
      <c r="A644" s="1"/>
      <c r="B644" s="1"/>
      <c r="C644" s="1"/>
      <c r="D644" s="1"/>
      <c r="E644" s="1"/>
      <c r="F644" s="2"/>
    </row>
    <row r="645" spans="1:6" x14ac:dyDescent="0.25">
      <c r="A645" s="1"/>
      <c r="B645" s="1"/>
      <c r="C645" s="1"/>
      <c r="D645" s="1"/>
      <c r="E645" s="1"/>
      <c r="F645" s="2"/>
    </row>
    <row r="646" spans="1:6" x14ac:dyDescent="0.25">
      <c r="A646" s="1"/>
      <c r="B646" s="1"/>
      <c r="C646" s="1"/>
      <c r="D646" s="1"/>
      <c r="E646" s="1"/>
      <c r="F646" s="2"/>
    </row>
    <row r="647" spans="1:6" x14ac:dyDescent="0.25">
      <c r="A647" s="1"/>
      <c r="B647" s="1"/>
      <c r="C647" s="1"/>
      <c r="D647" s="1"/>
      <c r="E647" s="1"/>
      <c r="F647" s="2"/>
    </row>
    <row r="648" spans="1:6" x14ac:dyDescent="0.25">
      <c r="A648" s="1"/>
      <c r="B648" s="1"/>
      <c r="C648" s="1"/>
      <c r="D648" s="1"/>
      <c r="E648" s="1"/>
      <c r="F648" s="2"/>
    </row>
    <row r="649" spans="1:6" x14ac:dyDescent="0.25">
      <c r="A649" s="1"/>
      <c r="B649" s="1"/>
      <c r="C649" s="1"/>
      <c r="D649" s="1"/>
      <c r="E649" s="1"/>
      <c r="F649" s="2"/>
    </row>
    <row r="650" spans="1:6" x14ac:dyDescent="0.25">
      <c r="A650" s="1"/>
      <c r="B650" s="1"/>
      <c r="C650" s="1"/>
      <c r="D650" s="1"/>
      <c r="E650" s="1"/>
      <c r="F650" s="2"/>
    </row>
    <row r="651" spans="1:6" x14ac:dyDescent="0.25">
      <c r="A651" s="1"/>
      <c r="B651" s="1"/>
      <c r="C651" s="1"/>
      <c r="D651" s="1"/>
      <c r="E651" s="1"/>
      <c r="F651" s="2"/>
    </row>
    <row r="652" spans="1:6" x14ac:dyDescent="0.25">
      <c r="A652" s="1"/>
      <c r="B652" s="1"/>
      <c r="C652" s="1"/>
      <c r="D652" s="1"/>
      <c r="E652" s="1"/>
      <c r="F652" s="2"/>
    </row>
    <row r="653" spans="1:6" x14ac:dyDescent="0.25">
      <c r="A653" s="1"/>
      <c r="B653" s="1"/>
      <c r="C653" s="1"/>
      <c r="D653" s="1"/>
      <c r="E653" s="1"/>
      <c r="F653" s="2"/>
    </row>
    <row r="654" spans="1:6" x14ac:dyDescent="0.25">
      <c r="A654" s="1"/>
      <c r="B654" s="1"/>
      <c r="C654" s="1"/>
      <c r="D654" s="1"/>
      <c r="E654" s="1"/>
      <c r="F654" s="2"/>
    </row>
    <row r="655" spans="1:6" x14ac:dyDescent="0.25">
      <c r="A655" s="1"/>
      <c r="B655" s="1"/>
      <c r="C655" s="1"/>
      <c r="D655" s="1"/>
      <c r="E655" s="1"/>
      <c r="F655" s="2"/>
    </row>
    <row r="656" spans="1:6" x14ac:dyDescent="0.25">
      <c r="A656" s="1"/>
      <c r="B656" s="1"/>
      <c r="C656" s="1"/>
      <c r="D656" s="1"/>
      <c r="E656" s="1"/>
      <c r="F656" s="2"/>
    </row>
    <row r="657" spans="1:6" x14ac:dyDescent="0.25">
      <c r="A657" s="1"/>
      <c r="B657" s="1"/>
      <c r="C657" s="1"/>
      <c r="D657" s="1"/>
      <c r="E657" s="1"/>
      <c r="F657" s="2"/>
    </row>
    <row r="658" spans="1:6" x14ac:dyDescent="0.25">
      <c r="A658" s="1"/>
      <c r="B658" s="1"/>
      <c r="C658" s="1"/>
      <c r="D658" s="1"/>
      <c r="E658" s="1"/>
      <c r="F658" s="2"/>
    </row>
    <row r="659" spans="1:6" x14ac:dyDescent="0.25">
      <c r="A659" s="1"/>
      <c r="B659" s="1"/>
      <c r="C659" s="1"/>
      <c r="D659" s="1"/>
      <c r="E659" s="1"/>
      <c r="F659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87473-F0D0-47DF-A626-6D42BAD8E46D}">
  <dimension ref="A1:BF659"/>
  <sheetViews>
    <sheetView topLeftCell="AG28" zoomScale="85" zoomScaleNormal="85" workbookViewId="0">
      <selection activeCell="AC2" sqref="AC2:BF60"/>
    </sheetView>
  </sheetViews>
  <sheetFormatPr defaultRowHeight="13.2" x14ac:dyDescent="0.25"/>
  <cols>
    <col min="1" max="2" width="8.88671875" style="4"/>
    <col min="3" max="6" width="7.109375" style="4" customWidth="1"/>
    <col min="7" max="15" width="8.88671875" style="9"/>
    <col min="16" max="18" width="8.88671875" style="4"/>
    <col min="19" max="22" width="8.88671875" style="1"/>
    <col min="23" max="26" width="13.44140625" style="1" customWidth="1"/>
    <col min="27" max="31" width="8.88671875" style="1"/>
    <col min="32" max="58" width="8.88671875" style="4"/>
    <col min="59" max="16384" width="8.88671875" style="10"/>
  </cols>
  <sheetData>
    <row r="1" spans="1:58" s="12" customFormat="1" ht="26.4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12</v>
      </c>
      <c r="G1" s="1"/>
      <c r="H1" s="1" t="s">
        <v>29</v>
      </c>
      <c r="I1" s="1" t="s">
        <v>0</v>
      </c>
      <c r="J1" s="1" t="s">
        <v>31</v>
      </c>
      <c r="K1" s="1" t="s">
        <v>30</v>
      </c>
      <c r="L1" s="2" t="s">
        <v>13</v>
      </c>
      <c r="M1" s="2" t="s">
        <v>14</v>
      </c>
      <c r="N1" s="2" t="s">
        <v>16</v>
      </c>
      <c r="O1" s="1"/>
      <c r="P1" s="2" t="s">
        <v>18</v>
      </c>
      <c r="Q1" s="2" t="s">
        <v>27</v>
      </c>
      <c r="R1" s="2" t="s">
        <v>28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17</v>
      </c>
      <c r="AB1" s="1"/>
      <c r="AC1" s="1">
        <v>1</v>
      </c>
      <c r="AD1" s="1">
        <v>1</v>
      </c>
      <c r="AE1" s="1">
        <v>1</v>
      </c>
      <c r="AF1" s="1">
        <f t="shared" ref="AF1:BE1" si="0">AC1+1</f>
        <v>2</v>
      </c>
      <c r="AG1" s="1">
        <f t="shared" si="0"/>
        <v>2</v>
      </c>
      <c r="AH1" s="1">
        <f t="shared" si="0"/>
        <v>2</v>
      </c>
      <c r="AI1" s="1">
        <f t="shared" si="0"/>
        <v>3</v>
      </c>
      <c r="AJ1" s="1">
        <f t="shared" si="0"/>
        <v>3</v>
      </c>
      <c r="AK1" s="1">
        <f t="shared" si="0"/>
        <v>3</v>
      </c>
      <c r="AL1" s="1">
        <f t="shared" si="0"/>
        <v>4</v>
      </c>
      <c r="AM1" s="1">
        <f t="shared" si="0"/>
        <v>4</v>
      </c>
      <c r="AN1" s="1">
        <f t="shared" si="0"/>
        <v>4</v>
      </c>
      <c r="AO1" s="1">
        <f t="shared" si="0"/>
        <v>5</v>
      </c>
      <c r="AP1" s="1">
        <f t="shared" si="0"/>
        <v>5</v>
      </c>
      <c r="AQ1" s="1">
        <f t="shared" si="0"/>
        <v>5</v>
      </c>
      <c r="AR1" s="1">
        <f t="shared" si="0"/>
        <v>6</v>
      </c>
      <c r="AS1" s="1">
        <f t="shared" si="0"/>
        <v>6</v>
      </c>
      <c r="AT1" s="1">
        <f t="shared" si="0"/>
        <v>6</v>
      </c>
      <c r="AU1" s="1">
        <f t="shared" si="0"/>
        <v>7</v>
      </c>
      <c r="AV1" s="1">
        <f t="shared" si="0"/>
        <v>7</v>
      </c>
      <c r="AW1" s="1">
        <f t="shared" si="0"/>
        <v>7</v>
      </c>
      <c r="AX1" s="1">
        <f t="shared" si="0"/>
        <v>8</v>
      </c>
      <c r="AY1" s="1">
        <f t="shared" si="0"/>
        <v>8</v>
      </c>
      <c r="AZ1" s="1">
        <f t="shared" si="0"/>
        <v>8</v>
      </c>
      <c r="BA1" s="1">
        <f t="shared" si="0"/>
        <v>9</v>
      </c>
      <c r="BB1" s="1">
        <f t="shared" si="0"/>
        <v>9</v>
      </c>
      <c r="BC1" s="1">
        <f t="shared" si="0"/>
        <v>9</v>
      </c>
      <c r="BD1" s="1">
        <f t="shared" si="0"/>
        <v>10</v>
      </c>
      <c r="BE1" s="1">
        <f t="shared" si="0"/>
        <v>10</v>
      </c>
      <c r="BF1" s="1">
        <f t="shared" ref="BF1" si="1">BC1+1</f>
        <v>10</v>
      </c>
    </row>
    <row r="2" spans="1:58" x14ac:dyDescent="0.25">
      <c r="A2" s="2" t="s">
        <v>5</v>
      </c>
      <c r="B2" s="2">
        <v>9</v>
      </c>
      <c r="C2" s="2">
        <v>3</v>
      </c>
      <c r="D2" s="2">
        <v>3</v>
      </c>
      <c r="E2" s="2">
        <v>6</v>
      </c>
      <c r="F2" s="2">
        <v>1</v>
      </c>
      <c r="H2" s="9" t="s">
        <v>92</v>
      </c>
      <c r="I2" s="9" t="s">
        <v>32</v>
      </c>
      <c r="J2" s="9" t="s">
        <v>33</v>
      </c>
      <c r="K2" s="9">
        <v>12.17</v>
      </c>
      <c r="L2" s="2">
        <v>3</v>
      </c>
      <c r="M2" s="2">
        <v>6</v>
      </c>
      <c r="N2" s="2">
        <v>0</v>
      </c>
      <c r="P2" s="4">
        <f>IF(D2*100+E2=L2*100+M2,1,0)</f>
        <v>1</v>
      </c>
      <c r="Q2" s="4">
        <f>MAX(P2, P61, P120, P179, P238, P297, P356, P415, P474, P533)</f>
        <v>1</v>
      </c>
      <c r="R2" s="4">
        <f>AVERAGE(P2, P61, P120, P179, P238, P297, P356, P415, P474, P533)</f>
        <v>1</v>
      </c>
      <c r="S2" s="1">
        <f t="shared" ref="S2:S33" si="2">MIN(L2, L61, L120, L179, L238, L297, L356, L415, L474, L533)</f>
        <v>3</v>
      </c>
      <c r="T2" s="1">
        <f t="shared" ref="T2:T33" si="3">AVERAGE(L2, L61, L120, L179, L238, L297, L356, L415, L474, L533)</f>
        <v>3</v>
      </c>
      <c r="U2" s="1">
        <f t="shared" ref="U2:U33" si="4">MIN(M2, M61, M120, M179, M238, M297, M356, M415, M474, M533)</f>
        <v>6</v>
      </c>
      <c r="V2" s="1">
        <f t="shared" ref="V2:V33" si="5">AVERAGE(M2, M61, M120, M179, M238, M297, M356, M415, M474, M533)</f>
        <v>6</v>
      </c>
      <c r="W2" s="1">
        <f>100*(S2-D2)/D2</f>
        <v>0</v>
      </c>
      <c r="X2" s="1">
        <f>100*(T2-D2)/D2</f>
        <v>0</v>
      </c>
      <c r="Y2" s="1">
        <f>100*(U2-E2)/E2</f>
        <v>0</v>
      </c>
      <c r="Z2" s="1">
        <f>100*(V2-E2)/E2</f>
        <v>0</v>
      </c>
      <c r="AA2" s="1">
        <f t="shared" ref="AA2:AA60" si="6">AVERAGE(N2, N61, N120, N179, N238, N297, N356, N415, N474, N533)</f>
        <v>0</v>
      </c>
      <c r="AC2" s="1">
        <f t="shared" ref="AC2:AC33" si="7">L2</f>
        <v>3</v>
      </c>
      <c r="AD2" s="1">
        <f t="shared" ref="AD2:AD33" si="8">M2</f>
        <v>6</v>
      </c>
      <c r="AE2" s="1">
        <f t="shared" ref="AE2:AE17" si="9">N2</f>
        <v>0</v>
      </c>
      <c r="AF2" s="4">
        <f t="shared" ref="AF2:AF33" si="10">L61</f>
        <v>3</v>
      </c>
      <c r="AG2" s="4">
        <f t="shared" ref="AG2:AG33" si="11">M61</f>
        <v>6</v>
      </c>
      <c r="AH2" s="4">
        <f t="shared" ref="AH2:AH17" si="12">N61</f>
        <v>0</v>
      </c>
      <c r="AI2" s="4">
        <f t="shared" ref="AI2:AI33" si="13">L120</f>
        <v>3</v>
      </c>
      <c r="AJ2" s="4">
        <f t="shared" ref="AJ2:AJ33" si="14">M120</f>
        <v>6</v>
      </c>
      <c r="AK2" s="4">
        <f t="shared" ref="AK2:AK17" si="15">N120</f>
        <v>0</v>
      </c>
      <c r="AL2" s="4">
        <f t="shared" ref="AL2:AL33" si="16">L179</f>
        <v>3</v>
      </c>
      <c r="AM2" s="4">
        <f t="shared" ref="AM2:AM33" si="17">M179</f>
        <v>6</v>
      </c>
      <c r="AN2" s="4">
        <f t="shared" ref="AN2:AN17" si="18">N179</f>
        <v>0</v>
      </c>
      <c r="AO2" s="4">
        <f t="shared" ref="AO2:AO33" si="19">L238</f>
        <v>3</v>
      </c>
      <c r="AP2" s="4">
        <f t="shared" ref="AP2:AP33" si="20">M238</f>
        <v>6</v>
      </c>
      <c r="AQ2" s="4">
        <f t="shared" ref="AQ2:AQ17" si="21">N238</f>
        <v>0</v>
      </c>
      <c r="AR2" s="4">
        <f t="shared" ref="AR2:AR33" si="22">L297</f>
        <v>3</v>
      </c>
      <c r="AS2" s="4">
        <f t="shared" ref="AS2:AS33" si="23">M297</f>
        <v>6</v>
      </c>
      <c r="AT2" s="4">
        <f t="shared" ref="AT2:AT17" si="24">N297</f>
        <v>0</v>
      </c>
      <c r="AU2" s="4">
        <f t="shared" ref="AU2:AU33" si="25">L356</f>
        <v>3</v>
      </c>
      <c r="AV2" s="4">
        <f t="shared" ref="AV2:AV33" si="26">M356</f>
        <v>6</v>
      </c>
      <c r="AW2" s="4">
        <f t="shared" ref="AW2:AW17" si="27">N356</f>
        <v>0</v>
      </c>
      <c r="AX2" s="4">
        <f t="shared" ref="AX2:AX33" si="28">L415</f>
        <v>3</v>
      </c>
      <c r="AY2" s="4">
        <f t="shared" ref="AY2:AY33" si="29">M415</f>
        <v>6</v>
      </c>
      <c r="AZ2" s="4">
        <f t="shared" ref="AZ2:AZ17" si="30">N415</f>
        <v>0</v>
      </c>
      <c r="BA2" s="4">
        <f t="shared" ref="BA2:BA33" si="31">L474</f>
        <v>3</v>
      </c>
      <c r="BB2" s="4">
        <f t="shared" ref="BB2:BB33" si="32">M474</f>
        <v>6</v>
      </c>
      <c r="BC2" s="4">
        <f t="shared" ref="BC2:BC17" si="33">N474</f>
        <v>0</v>
      </c>
      <c r="BD2" s="4">
        <f t="shared" ref="BD2:BD33" si="34">L533</f>
        <v>3</v>
      </c>
      <c r="BE2" s="4">
        <f t="shared" ref="BE2:BE33" si="35">M533</f>
        <v>6</v>
      </c>
      <c r="BF2" s="4">
        <f t="shared" ref="BF2:BF17" si="36">N533</f>
        <v>0</v>
      </c>
    </row>
    <row r="3" spans="1:58" x14ac:dyDescent="0.25">
      <c r="A3" s="2" t="s">
        <v>5</v>
      </c>
      <c r="B3" s="2">
        <v>9</v>
      </c>
      <c r="C3" s="2">
        <v>4</v>
      </c>
      <c r="D3" s="2">
        <v>3</v>
      </c>
      <c r="E3" s="2">
        <v>5</v>
      </c>
      <c r="F3" s="2">
        <v>1</v>
      </c>
      <c r="H3" s="9" t="s">
        <v>92</v>
      </c>
      <c r="I3" s="9" t="s">
        <v>34</v>
      </c>
      <c r="J3" s="9" t="s">
        <v>33</v>
      </c>
      <c r="K3" s="9">
        <v>11.42</v>
      </c>
      <c r="L3" s="2">
        <v>3</v>
      </c>
      <c r="M3" s="2">
        <v>5</v>
      </c>
      <c r="N3" s="2">
        <v>0</v>
      </c>
      <c r="P3" s="4">
        <f>IF(D3*100+E3=L3*100+M3,1,0)</f>
        <v>1</v>
      </c>
      <c r="Q3" s="4">
        <f t="shared" ref="Q3:Q60" si="37">MAX(P3, P62, P121, P180, P239, P298, P357, P416, P475, P534)</f>
        <v>1</v>
      </c>
      <c r="R3" s="4">
        <f t="shared" ref="R3:R60" si="38">AVERAGE(P3, P62, P121, P180, P239, P298, P357, P416, P475, P534)</f>
        <v>1</v>
      </c>
      <c r="S3" s="1">
        <f t="shared" si="2"/>
        <v>3</v>
      </c>
      <c r="T3" s="1">
        <f t="shared" si="3"/>
        <v>3</v>
      </c>
      <c r="U3" s="1">
        <f t="shared" si="4"/>
        <v>5</v>
      </c>
      <c r="V3" s="1">
        <f t="shared" si="5"/>
        <v>5</v>
      </c>
      <c r="W3" s="1">
        <f>100*(S3-D3)/D3</f>
        <v>0</v>
      </c>
      <c r="X3" s="1">
        <f>100*(T3-D3)/D3</f>
        <v>0</v>
      </c>
      <c r="Y3" s="1">
        <f>100*(U3-E3)/E3</f>
        <v>0</v>
      </c>
      <c r="Z3" s="1">
        <f>100*(V3-E3)/E3</f>
        <v>0</v>
      </c>
      <c r="AA3" s="1">
        <f t="shared" si="6"/>
        <v>0</v>
      </c>
      <c r="AC3" s="1">
        <f t="shared" si="7"/>
        <v>3</v>
      </c>
      <c r="AD3" s="1">
        <f t="shared" si="8"/>
        <v>5</v>
      </c>
      <c r="AE3" s="1">
        <f t="shared" si="9"/>
        <v>0</v>
      </c>
      <c r="AF3" s="4">
        <f t="shared" si="10"/>
        <v>3</v>
      </c>
      <c r="AG3" s="4">
        <f t="shared" si="11"/>
        <v>5</v>
      </c>
      <c r="AH3" s="4">
        <f t="shared" si="12"/>
        <v>0</v>
      </c>
      <c r="AI3" s="4">
        <f t="shared" si="13"/>
        <v>3</v>
      </c>
      <c r="AJ3" s="4">
        <f t="shared" si="14"/>
        <v>5</v>
      </c>
      <c r="AK3" s="4">
        <f t="shared" si="15"/>
        <v>0</v>
      </c>
      <c r="AL3" s="4">
        <f t="shared" si="16"/>
        <v>3</v>
      </c>
      <c r="AM3" s="4">
        <f t="shared" si="17"/>
        <v>5</v>
      </c>
      <c r="AN3" s="4">
        <f t="shared" si="18"/>
        <v>0</v>
      </c>
      <c r="AO3" s="4">
        <f t="shared" si="19"/>
        <v>3</v>
      </c>
      <c r="AP3" s="4">
        <f t="shared" si="20"/>
        <v>5</v>
      </c>
      <c r="AQ3" s="4">
        <f t="shared" si="21"/>
        <v>0</v>
      </c>
      <c r="AR3" s="4">
        <f t="shared" si="22"/>
        <v>3</v>
      </c>
      <c r="AS3" s="4">
        <f t="shared" si="23"/>
        <v>5</v>
      </c>
      <c r="AT3" s="4">
        <f t="shared" si="24"/>
        <v>0</v>
      </c>
      <c r="AU3" s="4">
        <f t="shared" si="25"/>
        <v>3</v>
      </c>
      <c r="AV3" s="4">
        <f t="shared" si="26"/>
        <v>5</v>
      </c>
      <c r="AW3" s="4">
        <f t="shared" si="27"/>
        <v>0</v>
      </c>
      <c r="AX3" s="4">
        <f t="shared" si="28"/>
        <v>3</v>
      </c>
      <c r="AY3" s="4">
        <f t="shared" si="29"/>
        <v>5</v>
      </c>
      <c r="AZ3" s="4">
        <f t="shared" si="30"/>
        <v>0</v>
      </c>
      <c r="BA3" s="4">
        <f t="shared" si="31"/>
        <v>3</v>
      </c>
      <c r="BB3" s="4">
        <f t="shared" si="32"/>
        <v>5</v>
      </c>
      <c r="BC3" s="4">
        <f t="shared" si="33"/>
        <v>0</v>
      </c>
      <c r="BD3" s="4">
        <f t="shared" si="34"/>
        <v>3</v>
      </c>
      <c r="BE3" s="4">
        <f t="shared" si="35"/>
        <v>5</v>
      </c>
      <c r="BF3" s="4">
        <f t="shared" si="36"/>
        <v>0</v>
      </c>
    </row>
    <row r="4" spans="1:58" x14ac:dyDescent="0.25">
      <c r="A4" s="2" t="s">
        <v>5</v>
      </c>
      <c r="B4" s="2">
        <v>9</v>
      </c>
      <c r="C4" s="2">
        <v>5</v>
      </c>
      <c r="D4" s="2">
        <v>2</v>
      </c>
      <c r="E4" s="2">
        <v>4</v>
      </c>
      <c r="F4" s="2">
        <v>1</v>
      </c>
      <c r="H4" s="9" t="s">
        <v>92</v>
      </c>
      <c r="I4" s="9" t="s">
        <v>35</v>
      </c>
      <c r="J4" s="9" t="s">
        <v>33</v>
      </c>
      <c r="K4" s="9">
        <v>8.15</v>
      </c>
      <c r="L4" s="2">
        <v>2</v>
      </c>
      <c r="M4" s="2">
        <v>4</v>
      </c>
      <c r="N4" s="2">
        <v>0</v>
      </c>
      <c r="P4" s="4">
        <f>IF(D4*100+E4=L4*100+M4,1,0)</f>
        <v>1</v>
      </c>
      <c r="Q4" s="4">
        <f t="shared" si="37"/>
        <v>1</v>
      </c>
      <c r="R4" s="4">
        <f t="shared" si="38"/>
        <v>1</v>
      </c>
      <c r="S4" s="1">
        <f t="shared" si="2"/>
        <v>2</v>
      </c>
      <c r="T4" s="1">
        <f t="shared" si="3"/>
        <v>2</v>
      </c>
      <c r="U4" s="1">
        <f t="shared" si="4"/>
        <v>4</v>
      </c>
      <c r="V4" s="1">
        <f t="shared" si="5"/>
        <v>4</v>
      </c>
      <c r="W4" s="1">
        <f>100*(S4-D4)/D4</f>
        <v>0</v>
      </c>
      <c r="X4" s="1">
        <f>100*(T4-D4)/D4</f>
        <v>0</v>
      </c>
      <c r="Y4" s="1">
        <f>100*(U4-E4)/E4</f>
        <v>0</v>
      </c>
      <c r="Z4" s="1">
        <f>100*(V4-E4)/E4</f>
        <v>0</v>
      </c>
      <c r="AA4" s="1">
        <f t="shared" si="6"/>
        <v>1E-3</v>
      </c>
      <c r="AC4" s="1">
        <f t="shared" si="7"/>
        <v>2</v>
      </c>
      <c r="AD4" s="1">
        <f t="shared" si="8"/>
        <v>4</v>
      </c>
      <c r="AE4" s="1">
        <f t="shared" si="9"/>
        <v>0</v>
      </c>
      <c r="AF4" s="4">
        <f t="shared" si="10"/>
        <v>2</v>
      </c>
      <c r="AG4" s="4">
        <f t="shared" si="11"/>
        <v>4</v>
      </c>
      <c r="AH4" s="4">
        <f t="shared" si="12"/>
        <v>0</v>
      </c>
      <c r="AI4" s="4">
        <f t="shared" si="13"/>
        <v>2</v>
      </c>
      <c r="AJ4" s="4">
        <f t="shared" si="14"/>
        <v>4</v>
      </c>
      <c r="AK4" s="4">
        <f t="shared" si="15"/>
        <v>0</v>
      </c>
      <c r="AL4" s="4">
        <f t="shared" si="16"/>
        <v>2</v>
      </c>
      <c r="AM4" s="4">
        <f t="shared" si="17"/>
        <v>4</v>
      </c>
      <c r="AN4" s="4">
        <f t="shared" si="18"/>
        <v>0</v>
      </c>
      <c r="AO4" s="4">
        <f t="shared" si="19"/>
        <v>2</v>
      </c>
      <c r="AP4" s="4">
        <f t="shared" si="20"/>
        <v>4</v>
      </c>
      <c r="AQ4" s="4">
        <f t="shared" si="21"/>
        <v>0</v>
      </c>
      <c r="AR4" s="4">
        <f t="shared" si="22"/>
        <v>2</v>
      </c>
      <c r="AS4" s="4">
        <f t="shared" si="23"/>
        <v>4</v>
      </c>
      <c r="AT4" s="4">
        <f t="shared" si="24"/>
        <v>0</v>
      </c>
      <c r="AU4" s="4">
        <f t="shared" si="25"/>
        <v>2</v>
      </c>
      <c r="AV4" s="4">
        <f t="shared" si="26"/>
        <v>4</v>
      </c>
      <c r="AW4" s="4">
        <f t="shared" si="27"/>
        <v>0</v>
      </c>
      <c r="AX4" s="4">
        <f t="shared" si="28"/>
        <v>2</v>
      </c>
      <c r="AY4" s="4">
        <f t="shared" si="29"/>
        <v>4</v>
      </c>
      <c r="AZ4" s="4">
        <f t="shared" si="30"/>
        <v>0</v>
      </c>
      <c r="BA4" s="4">
        <f t="shared" si="31"/>
        <v>2</v>
      </c>
      <c r="BB4" s="4">
        <f t="shared" si="32"/>
        <v>4</v>
      </c>
      <c r="BC4" s="4">
        <f t="shared" si="33"/>
        <v>0.01</v>
      </c>
      <c r="BD4" s="4">
        <f t="shared" si="34"/>
        <v>2</v>
      </c>
      <c r="BE4" s="4">
        <f t="shared" si="35"/>
        <v>4</v>
      </c>
      <c r="BF4" s="4">
        <f t="shared" si="36"/>
        <v>0</v>
      </c>
    </row>
    <row r="5" spans="1:58" x14ac:dyDescent="0.25">
      <c r="A5" s="2" t="s">
        <v>5</v>
      </c>
      <c r="B5" s="2">
        <v>9</v>
      </c>
      <c r="C5" s="2">
        <v>6</v>
      </c>
      <c r="D5" s="2">
        <v>2</v>
      </c>
      <c r="E5" s="2">
        <v>3</v>
      </c>
      <c r="F5" s="2">
        <v>1</v>
      </c>
      <c r="H5" s="9" t="s">
        <v>92</v>
      </c>
      <c r="I5" s="9" t="s">
        <v>36</v>
      </c>
      <c r="J5" s="9" t="s">
        <v>33</v>
      </c>
      <c r="K5" s="9">
        <v>7.29</v>
      </c>
      <c r="L5" s="2">
        <v>2</v>
      </c>
      <c r="M5" s="2">
        <v>3</v>
      </c>
      <c r="N5" s="2">
        <v>0</v>
      </c>
      <c r="P5" s="4">
        <f>IF(D5*100+E5=L5*100+M5,1,0)</f>
        <v>1</v>
      </c>
      <c r="Q5" s="4">
        <f t="shared" si="37"/>
        <v>1</v>
      </c>
      <c r="R5" s="4">
        <f t="shared" si="38"/>
        <v>1</v>
      </c>
      <c r="S5" s="1">
        <f t="shared" si="2"/>
        <v>2</v>
      </c>
      <c r="T5" s="1">
        <f t="shared" si="3"/>
        <v>2</v>
      </c>
      <c r="U5" s="1">
        <f t="shared" si="4"/>
        <v>3</v>
      </c>
      <c r="V5" s="1">
        <f t="shared" si="5"/>
        <v>3</v>
      </c>
      <c r="W5" s="1">
        <f>100*(S5-D5)/D5</f>
        <v>0</v>
      </c>
      <c r="X5" s="1">
        <f>100*(T5-D5)/D5</f>
        <v>0</v>
      </c>
      <c r="Y5" s="1">
        <f>100*(U5-E5)/E5</f>
        <v>0</v>
      </c>
      <c r="Z5" s="1">
        <f>100*(V5-E5)/E5</f>
        <v>0</v>
      </c>
      <c r="AA5" s="1">
        <f t="shared" si="6"/>
        <v>1E-3</v>
      </c>
      <c r="AC5" s="1">
        <f t="shared" si="7"/>
        <v>2</v>
      </c>
      <c r="AD5" s="1">
        <f t="shared" si="8"/>
        <v>3</v>
      </c>
      <c r="AE5" s="1">
        <f t="shared" si="9"/>
        <v>0</v>
      </c>
      <c r="AF5" s="4">
        <f t="shared" si="10"/>
        <v>2</v>
      </c>
      <c r="AG5" s="4">
        <f t="shared" si="11"/>
        <v>3</v>
      </c>
      <c r="AH5" s="4">
        <f t="shared" si="12"/>
        <v>0</v>
      </c>
      <c r="AI5" s="4">
        <f t="shared" si="13"/>
        <v>2</v>
      </c>
      <c r="AJ5" s="4">
        <f t="shared" si="14"/>
        <v>3</v>
      </c>
      <c r="AK5" s="4">
        <f t="shared" si="15"/>
        <v>0</v>
      </c>
      <c r="AL5" s="4">
        <f t="shared" si="16"/>
        <v>2</v>
      </c>
      <c r="AM5" s="4">
        <f t="shared" si="17"/>
        <v>3</v>
      </c>
      <c r="AN5" s="4">
        <f t="shared" si="18"/>
        <v>0</v>
      </c>
      <c r="AO5" s="4">
        <f t="shared" si="19"/>
        <v>2</v>
      </c>
      <c r="AP5" s="4">
        <f t="shared" si="20"/>
        <v>3</v>
      </c>
      <c r="AQ5" s="4">
        <f t="shared" si="21"/>
        <v>0</v>
      </c>
      <c r="AR5" s="4">
        <f t="shared" si="22"/>
        <v>2</v>
      </c>
      <c r="AS5" s="4">
        <f t="shared" si="23"/>
        <v>3</v>
      </c>
      <c r="AT5" s="4">
        <f t="shared" si="24"/>
        <v>0</v>
      </c>
      <c r="AU5" s="4">
        <f t="shared" si="25"/>
        <v>2</v>
      </c>
      <c r="AV5" s="4">
        <f t="shared" si="26"/>
        <v>3</v>
      </c>
      <c r="AW5" s="4">
        <f t="shared" si="27"/>
        <v>0</v>
      </c>
      <c r="AX5" s="4">
        <f t="shared" si="28"/>
        <v>2</v>
      </c>
      <c r="AY5" s="4">
        <f t="shared" si="29"/>
        <v>3</v>
      </c>
      <c r="AZ5" s="4">
        <f t="shared" si="30"/>
        <v>0</v>
      </c>
      <c r="BA5" s="4">
        <f t="shared" si="31"/>
        <v>2</v>
      </c>
      <c r="BB5" s="4">
        <f t="shared" si="32"/>
        <v>3</v>
      </c>
      <c r="BC5" s="4">
        <f t="shared" si="33"/>
        <v>0.01</v>
      </c>
      <c r="BD5" s="4">
        <f t="shared" si="34"/>
        <v>2</v>
      </c>
      <c r="BE5" s="4">
        <f t="shared" si="35"/>
        <v>3</v>
      </c>
      <c r="BF5" s="4">
        <f t="shared" si="36"/>
        <v>0</v>
      </c>
    </row>
    <row r="6" spans="1:58" x14ac:dyDescent="0.25">
      <c r="A6" s="2" t="s">
        <v>5</v>
      </c>
      <c r="B6" s="2">
        <v>9</v>
      </c>
      <c r="C6" s="2">
        <v>7</v>
      </c>
      <c r="D6" s="2">
        <v>2</v>
      </c>
      <c r="E6" s="2">
        <v>3</v>
      </c>
      <c r="F6" s="2">
        <v>1</v>
      </c>
      <c r="H6" s="9" t="s">
        <v>92</v>
      </c>
      <c r="I6" s="9" t="s">
        <v>37</v>
      </c>
      <c r="J6" s="9" t="s">
        <v>33</v>
      </c>
      <c r="K6" s="9">
        <v>7.39</v>
      </c>
      <c r="L6" s="2">
        <v>2</v>
      </c>
      <c r="M6" s="2">
        <v>3</v>
      </c>
      <c r="N6" s="2">
        <v>0</v>
      </c>
      <c r="P6" s="4">
        <f>IF(D6*100+E6=L6*100+M6,1,0)</f>
        <v>1</v>
      </c>
      <c r="Q6" s="4">
        <f t="shared" si="37"/>
        <v>1</v>
      </c>
      <c r="R6" s="4">
        <f t="shared" si="38"/>
        <v>1</v>
      </c>
      <c r="S6" s="1">
        <f t="shared" si="2"/>
        <v>2</v>
      </c>
      <c r="T6" s="1">
        <f t="shared" si="3"/>
        <v>2</v>
      </c>
      <c r="U6" s="1">
        <f t="shared" si="4"/>
        <v>3</v>
      </c>
      <c r="V6" s="1">
        <f t="shared" si="5"/>
        <v>3</v>
      </c>
      <c r="W6" s="1">
        <f>100*(S6-D6)/D6</f>
        <v>0</v>
      </c>
      <c r="X6" s="1">
        <f>100*(T6-D6)/D6</f>
        <v>0</v>
      </c>
      <c r="Y6" s="1">
        <f>100*(U6-E6)/E6</f>
        <v>0</v>
      </c>
      <c r="Z6" s="1">
        <f>100*(V6-E6)/E6</f>
        <v>0</v>
      </c>
      <c r="AA6" s="1">
        <f t="shared" si="6"/>
        <v>0</v>
      </c>
      <c r="AC6" s="1">
        <f t="shared" si="7"/>
        <v>2</v>
      </c>
      <c r="AD6" s="1">
        <f t="shared" si="8"/>
        <v>3</v>
      </c>
      <c r="AE6" s="1">
        <f t="shared" si="9"/>
        <v>0</v>
      </c>
      <c r="AF6" s="4">
        <f t="shared" si="10"/>
        <v>2</v>
      </c>
      <c r="AG6" s="4">
        <f t="shared" si="11"/>
        <v>3</v>
      </c>
      <c r="AH6" s="4">
        <f t="shared" si="12"/>
        <v>0</v>
      </c>
      <c r="AI6" s="4">
        <f t="shared" si="13"/>
        <v>2</v>
      </c>
      <c r="AJ6" s="4">
        <f t="shared" si="14"/>
        <v>3</v>
      </c>
      <c r="AK6" s="4">
        <f t="shared" si="15"/>
        <v>0</v>
      </c>
      <c r="AL6" s="4">
        <f t="shared" si="16"/>
        <v>2</v>
      </c>
      <c r="AM6" s="4">
        <f t="shared" si="17"/>
        <v>3</v>
      </c>
      <c r="AN6" s="4">
        <f t="shared" si="18"/>
        <v>0</v>
      </c>
      <c r="AO6" s="4">
        <f t="shared" si="19"/>
        <v>2</v>
      </c>
      <c r="AP6" s="4">
        <f t="shared" si="20"/>
        <v>3</v>
      </c>
      <c r="AQ6" s="4">
        <f t="shared" si="21"/>
        <v>0</v>
      </c>
      <c r="AR6" s="4">
        <f t="shared" si="22"/>
        <v>2</v>
      </c>
      <c r="AS6" s="4">
        <f t="shared" si="23"/>
        <v>3</v>
      </c>
      <c r="AT6" s="4">
        <f t="shared" si="24"/>
        <v>0</v>
      </c>
      <c r="AU6" s="4">
        <f t="shared" si="25"/>
        <v>2</v>
      </c>
      <c r="AV6" s="4">
        <f t="shared" si="26"/>
        <v>3</v>
      </c>
      <c r="AW6" s="4">
        <f t="shared" si="27"/>
        <v>0</v>
      </c>
      <c r="AX6" s="4">
        <f t="shared" si="28"/>
        <v>2</v>
      </c>
      <c r="AY6" s="4">
        <f t="shared" si="29"/>
        <v>3</v>
      </c>
      <c r="AZ6" s="4">
        <f t="shared" si="30"/>
        <v>0</v>
      </c>
      <c r="BA6" s="4">
        <f t="shared" si="31"/>
        <v>2</v>
      </c>
      <c r="BB6" s="4">
        <f t="shared" si="32"/>
        <v>3</v>
      </c>
      <c r="BC6" s="4">
        <f t="shared" si="33"/>
        <v>0</v>
      </c>
      <c r="BD6" s="4">
        <f t="shared" si="34"/>
        <v>2</v>
      </c>
      <c r="BE6" s="4">
        <f t="shared" si="35"/>
        <v>3</v>
      </c>
      <c r="BF6" s="4">
        <f t="shared" si="36"/>
        <v>0</v>
      </c>
    </row>
    <row r="7" spans="1:58" x14ac:dyDescent="0.25">
      <c r="A7" s="2" t="s">
        <v>6</v>
      </c>
      <c r="B7" s="2">
        <v>12</v>
      </c>
      <c r="C7" s="2">
        <v>4</v>
      </c>
      <c r="D7" s="2">
        <v>4</v>
      </c>
      <c r="E7" s="2">
        <v>7</v>
      </c>
      <c r="F7" s="2">
        <v>1</v>
      </c>
      <c r="H7" s="9" t="s">
        <v>92</v>
      </c>
      <c r="I7" s="9" t="s">
        <v>38</v>
      </c>
      <c r="J7" s="9" t="s">
        <v>33</v>
      </c>
      <c r="K7" s="9">
        <v>15.31</v>
      </c>
      <c r="L7" s="2">
        <v>4</v>
      </c>
      <c r="M7" s="2">
        <v>7</v>
      </c>
      <c r="N7" s="2">
        <v>0</v>
      </c>
      <c r="P7" s="4">
        <f>IF(D7*100+E7=L7*100+M7,1,0)</f>
        <v>1</v>
      </c>
      <c r="Q7" s="4">
        <f t="shared" si="37"/>
        <v>1</v>
      </c>
      <c r="R7" s="4">
        <f t="shared" si="38"/>
        <v>1</v>
      </c>
      <c r="S7" s="1">
        <f t="shared" si="2"/>
        <v>4</v>
      </c>
      <c r="T7" s="1">
        <f t="shared" si="3"/>
        <v>4</v>
      </c>
      <c r="U7" s="1">
        <f t="shared" si="4"/>
        <v>7</v>
      </c>
      <c r="V7" s="1">
        <f t="shared" si="5"/>
        <v>7</v>
      </c>
      <c r="W7" s="1">
        <f>100*(S7-D7)/D7</f>
        <v>0</v>
      </c>
      <c r="X7" s="1">
        <f>100*(T7-D7)/D7</f>
        <v>0</v>
      </c>
      <c r="Y7" s="1">
        <f>100*(U7-E7)/E7</f>
        <v>0</v>
      </c>
      <c r="Z7" s="1">
        <f>100*(V7-E7)/E7</f>
        <v>0</v>
      </c>
      <c r="AA7" s="1">
        <f t="shared" si="6"/>
        <v>1E-3</v>
      </c>
      <c r="AC7" s="1">
        <f t="shared" si="7"/>
        <v>4</v>
      </c>
      <c r="AD7" s="1">
        <f t="shared" si="8"/>
        <v>7</v>
      </c>
      <c r="AE7" s="1">
        <f t="shared" si="9"/>
        <v>0</v>
      </c>
      <c r="AF7" s="4">
        <f t="shared" si="10"/>
        <v>4</v>
      </c>
      <c r="AG7" s="4">
        <f t="shared" si="11"/>
        <v>7</v>
      </c>
      <c r="AH7" s="4">
        <f t="shared" si="12"/>
        <v>0</v>
      </c>
      <c r="AI7" s="4">
        <f t="shared" si="13"/>
        <v>4</v>
      </c>
      <c r="AJ7" s="4">
        <f t="shared" si="14"/>
        <v>7</v>
      </c>
      <c r="AK7" s="4">
        <f t="shared" si="15"/>
        <v>0</v>
      </c>
      <c r="AL7" s="4">
        <f t="shared" si="16"/>
        <v>4</v>
      </c>
      <c r="AM7" s="4">
        <f t="shared" si="17"/>
        <v>7</v>
      </c>
      <c r="AN7" s="4">
        <f t="shared" si="18"/>
        <v>0.01</v>
      </c>
      <c r="AO7" s="4">
        <f t="shared" si="19"/>
        <v>4</v>
      </c>
      <c r="AP7" s="4">
        <f t="shared" si="20"/>
        <v>7</v>
      </c>
      <c r="AQ7" s="4">
        <f t="shared" si="21"/>
        <v>0</v>
      </c>
      <c r="AR7" s="4">
        <f t="shared" si="22"/>
        <v>4</v>
      </c>
      <c r="AS7" s="4">
        <f t="shared" si="23"/>
        <v>7</v>
      </c>
      <c r="AT7" s="4">
        <f t="shared" si="24"/>
        <v>0</v>
      </c>
      <c r="AU7" s="4">
        <f t="shared" si="25"/>
        <v>4</v>
      </c>
      <c r="AV7" s="4">
        <f t="shared" si="26"/>
        <v>7</v>
      </c>
      <c r="AW7" s="4">
        <f t="shared" si="27"/>
        <v>0</v>
      </c>
      <c r="AX7" s="4">
        <f t="shared" si="28"/>
        <v>4</v>
      </c>
      <c r="AY7" s="4">
        <f t="shared" si="29"/>
        <v>7</v>
      </c>
      <c r="AZ7" s="4">
        <f t="shared" si="30"/>
        <v>0</v>
      </c>
      <c r="BA7" s="4">
        <f t="shared" si="31"/>
        <v>4</v>
      </c>
      <c r="BB7" s="4">
        <f t="shared" si="32"/>
        <v>7</v>
      </c>
      <c r="BC7" s="4">
        <f t="shared" si="33"/>
        <v>0</v>
      </c>
      <c r="BD7" s="4">
        <f t="shared" si="34"/>
        <v>4</v>
      </c>
      <c r="BE7" s="4">
        <f t="shared" si="35"/>
        <v>7</v>
      </c>
      <c r="BF7" s="4">
        <f t="shared" si="36"/>
        <v>0</v>
      </c>
    </row>
    <row r="8" spans="1:58" x14ac:dyDescent="0.25">
      <c r="A8" s="2" t="s">
        <v>6</v>
      </c>
      <c r="B8" s="2">
        <v>12</v>
      </c>
      <c r="C8" s="2">
        <v>5</v>
      </c>
      <c r="D8" s="2">
        <v>3</v>
      </c>
      <c r="E8" s="2">
        <v>6</v>
      </c>
      <c r="F8" s="2">
        <v>1</v>
      </c>
      <c r="H8" s="9" t="s">
        <v>92</v>
      </c>
      <c r="I8" s="9" t="s">
        <v>39</v>
      </c>
      <c r="J8" s="9" t="s">
        <v>33</v>
      </c>
      <c r="K8" s="9">
        <v>12.23</v>
      </c>
      <c r="L8" s="2">
        <v>3</v>
      </c>
      <c r="M8" s="2">
        <v>6</v>
      </c>
      <c r="N8" s="2">
        <v>300</v>
      </c>
      <c r="P8" s="4">
        <f>IF(D8*100+E8=L8*100+M8,1,0)</f>
        <v>1</v>
      </c>
      <c r="Q8" s="4">
        <f t="shared" si="37"/>
        <v>1</v>
      </c>
      <c r="R8" s="4">
        <f t="shared" si="38"/>
        <v>1</v>
      </c>
      <c r="S8" s="1">
        <f t="shared" si="2"/>
        <v>3</v>
      </c>
      <c r="T8" s="1">
        <f t="shared" si="3"/>
        <v>3</v>
      </c>
      <c r="U8" s="1">
        <f t="shared" si="4"/>
        <v>6</v>
      </c>
      <c r="V8" s="1">
        <f t="shared" si="5"/>
        <v>6</v>
      </c>
      <c r="W8" s="1">
        <f>100*(S8-D8)/D8</f>
        <v>0</v>
      </c>
      <c r="X8" s="1">
        <f>100*(T8-D8)/D8</f>
        <v>0</v>
      </c>
      <c r="Y8" s="1">
        <f>100*(U8-E8)/E8</f>
        <v>0</v>
      </c>
      <c r="Z8" s="1">
        <f>100*(V8-E8)/E8</f>
        <v>0</v>
      </c>
      <c r="AA8" s="1">
        <f t="shared" si="6"/>
        <v>300.00100000000003</v>
      </c>
      <c r="AC8" s="1">
        <f t="shared" si="7"/>
        <v>3</v>
      </c>
      <c r="AD8" s="1">
        <f t="shared" si="8"/>
        <v>6</v>
      </c>
      <c r="AE8" s="1">
        <f t="shared" si="9"/>
        <v>300</v>
      </c>
      <c r="AF8" s="4">
        <f t="shared" si="10"/>
        <v>3</v>
      </c>
      <c r="AG8" s="4">
        <f t="shared" si="11"/>
        <v>6</v>
      </c>
      <c r="AH8" s="4">
        <f t="shared" si="12"/>
        <v>300</v>
      </c>
      <c r="AI8" s="4">
        <f t="shared" si="13"/>
        <v>3</v>
      </c>
      <c r="AJ8" s="4">
        <f t="shared" si="14"/>
        <v>6</v>
      </c>
      <c r="AK8" s="4">
        <f t="shared" si="15"/>
        <v>300.01</v>
      </c>
      <c r="AL8" s="4">
        <f t="shared" si="16"/>
        <v>3</v>
      </c>
      <c r="AM8" s="4">
        <f t="shared" si="17"/>
        <v>6</v>
      </c>
      <c r="AN8" s="4">
        <f t="shared" si="18"/>
        <v>300</v>
      </c>
      <c r="AO8" s="4">
        <f t="shared" si="19"/>
        <v>3</v>
      </c>
      <c r="AP8" s="4">
        <f t="shared" si="20"/>
        <v>6</v>
      </c>
      <c r="AQ8" s="4">
        <f t="shared" si="21"/>
        <v>300</v>
      </c>
      <c r="AR8" s="4">
        <f t="shared" si="22"/>
        <v>3</v>
      </c>
      <c r="AS8" s="4">
        <f t="shared" si="23"/>
        <v>6</v>
      </c>
      <c r="AT8" s="4">
        <f t="shared" si="24"/>
        <v>300</v>
      </c>
      <c r="AU8" s="4">
        <f t="shared" si="25"/>
        <v>3</v>
      </c>
      <c r="AV8" s="4">
        <f t="shared" si="26"/>
        <v>6</v>
      </c>
      <c r="AW8" s="4">
        <f t="shared" si="27"/>
        <v>300</v>
      </c>
      <c r="AX8" s="4">
        <f t="shared" si="28"/>
        <v>3</v>
      </c>
      <c r="AY8" s="4">
        <f t="shared" si="29"/>
        <v>6</v>
      </c>
      <c r="AZ8" s="4">
        <f t="shared" si="30"/>
        <v>300</v>
      </c>
      <c r="BA8" s="4">
        <f t="shared" si="31"/>
        <v>3</v>
      </c>
      <c r="BB8" s="4">
        <f t="shared" si="32"/>
        <v>6</v>
      </c>
      <c r="BC8" s="4">
        <f t="shared" si="33"/>
        <v>300</v>
      </c>
      <c r="BD8" s="4">
        <f t="shared" si="34"/>
        <v>3</v>
      </c>
      <c r="BE8" s="4">
        <f t="shared" si="35"/>
        <v>6</v>
      </c>
      <c r="BF8" s="4">
        <f t="shared" si="36"/>
        <v>300</v>
      </c>
    </row>
    <row r="9" spans="1:58" x14ac:dyDescent="0.25">
      <c r="A9" s="2" t="s">
        <v>6</v>
      </c>
      <c r="B9" s="2">
        <v>12</v>
      </c>
      <c r="C9" s="2">
        <v>6</v>
      </c>
      <c r="D9" s="2">
        <v>3</v>
      </c>
      <c r="E9" s="2">
        <v>5</v>
      </c>
      <c r="F9" s="2">
        <v>1</v>
      </c>
      <c r="H9" s="9" t="s">
        <v>92</v>
      </c>
      <c r="I9" s="9" t="s">
        <v>40</v>
      </c>
      <c r="J9" s="9" t="s">
        <v>33</v>
      </c>
      <c r="K9" s="9">
        <v>11.33</v>
      </c>
      <c r="L9" s="2">
        <v>3</v>
      </c>
      <c r="M9" s="2">
        <v>5</v>
      </c>
      <c r="N9" s="2">
        <v>0</v>
      </c>
      <c r="P9" s="4">
        <f>IF(D9*100+E9=L9*100+M9,1,0)</f>
        <v>1</v>
      </c>
      <c r="Q9" s="4">
        <f t="shared" si="37"/>
        <v>1</v>
      </c>
      <c r="R9" s="4">
        <f t="shared" si="38"/>
        <v>1</v>
      </c>
      <c r="S9" s="1">
        <f t="shared" si="2"/>
        <v>3</v>
      </c>
      <c r="T9" s="1">
        <f t="shared" si="3"/>
        <v>3</v>
      </c>
      <c r="U9" s="1">
        <f t="shared" si="4"/>
        <v>5</v>
      </c>
      <c r="V9" s="1">
        <f t="shared" si="5"/>
        <v>5</v>
      </c>
      <c r="W9" s="1">
        <f>100*(S9-D9)/D9</f>
        <v>0</v>
      </c>
      <c r="X9" s="1">
        <f>100*(T9-D9)/D9</f>
        <v>0</v>
      </c>
      <c r="Y9" s="1">
        <f>100*(U9-E9)/E9</f>
        <v>0</v>
      </c>
      <c r="Z9" s="1">
        <f>100*(V9-E9)/E9</f>
        <v>0</v>
      </c>
      <c r="AA9" s="1">
        <f t="shared" si="6"/>
        <v>0</v>
      </c>
      <c r="AC9" s="1">
        <f t="shared" si="7"/>
        <v>3</v>
      </c>
      <c r="AD9" s="1">
        <f t="shared" si="8"/>
        <v>5</v>
      </c>
      <c r="AE9" s="1">
        <f t="shared" si="9"/>
        <v>0</v>
      </c>
      <c r="AF9" s="4">
        <f t="shared" si="10"/>
        <v>3</v>
      </c>
      <c r="AG9" s="4">
        <f t="shared" si="11"/>
        <v>5</v>
      </c>
      <c r="AH9" s="4">
        <f t="shared" si="12"/>
        <v>0</v>
      </c>
      <c r="AI9" s="4">
        <f t="shared" si="13"/>
        <v>3</v>
      </c>
      <c r="AJ9" s="4">
        <f t="shared" si="14"/>
        <v>5</v>
      </c>
      <c r="AK9" s="4">
        <f t="shared" si="15"/>
        <v>0</v>
      </c>
      <c r="AL9" s="4">
        <f t="shared" si="16"/>
        <v>3</v>
      </c>
      <c r="AM9" s="4">
        <f t="shared" si="17"/>
        <v>5</v>
      </c>
      <c r="AN9" s="4">
        <f t="shared" si="18"/>
        <v>0</v>
      </c>
      <c r="AO9" s="4">
        <f t="shared" si="19"/>
        <v>3</v>
      </c>
      <c r="AP9" s="4">
        <f t="shared" si="20"/>
        <v>5</v>
      </c>
      <c r="AQ9" s="4">
        <f t="shared" si="21"/>
        <v>0</v>
      </c>
      <c r="AR9" s="4">
        <f t="shared" si="22"/>
        <v>3</v>
      </c>
      <c r="AS9" s="4">
        <f t="shared" si="23"/>
        <v>5</v>
      </c>
      <c r="AT9" s="4">
        <f t="shared" si="24"/>
        <v>0</v>
      </c>
      <c r="AU9" s="4">
        <f t="shared" si="25"/>
        <v>3</v>
      </c>
      <c r="AV9" s="4">
        <f t="shared" si="26"/>
        <v>5</v>
      </c>
      <c r="AW9" s="4">
        <f t="shared" si="27"/>
        <v>0</v>
      </c>
      <c r="AX9" s="4">
        <f t="shared" si="28"/>
        <v>3</v>
      </c>
      <c r="AY9" s="4">
        <f t="shared" si="29"/>
        <v>5</v>
      </c>
      <c r="AZ9" s="4">
        <f t="shared" si="30"/>
        <v>0</v>
      </c>
      <c r="BA9" s="4">
        <f t="shared" si="31"/>
        <v>3</v>
      </c>
      <c r="BB9" s="4">
        <f t="shared" si="32"/>
        <v>5</v>
      </c>
      <c r="BC9" s="4">
        <f t="shared" si="33"/>
        <v>0</v>
      </c>
      <c r="BD9" s="4">
        <f t="shared" si="34"/>
        <v>3</v>
      </c>
      <c r="BE9" s="4">
        <f t="shared" si="35"/>
        <v>5</v>
      </c>
      <c r="BF9" s="4">
        <f t="shared" si="36"/>
        <v>0</v>
      </c>
    </row>
    <row r="10" spans="1:58" x14ac:dyDescent="0.25">
      <c r="A10" s="2" t="s">
        <v>6</v>
      </c>
      <c r="B10" s="2">
        <v>12</v>
      </c>
      <c r="C10" s="2">
        <v>7</v>
      </c>
      <c r="D10" s="2">
        <v>2</v>
      </c>
      <c r="E10" s="2">
        <v>4</v>
      </c>
      <c r="F10" s="2">
        <v>1</v>
      </c>
      <c r="H10" s="9" t="s">
        <v>92</v>
      </c>
      <c r="I10" s="9" t="s">
        <v>41</v>
      </c>
      <c r="J10" s="9" t="s">
        <v>33</v>
      </c>
      <c r="K10" s="9">
        <v>8.11</v>
      </c>
      <c r="L10" s="2">
        <v>2</v>
      </c>
      <c r="M10" s="2">
        <v>4</v>
      </c>
      <c r="N10" s="2">
        <v>0</v>
      </c>
      <c r="P10" s="4">
        <f>IF(D10*100+E10=L10*100+M10,1,0)</f>
        <v>1</v>
      </c>
      <c r="Q10" s="4">
        <f t="shared" si="37"/>
        <v>1</v>
      </c>
      <c r="R10" s="4">
        <f t="shared" si="38"/>
        <v>1</v>
      </c>
      <c r="S10" s="1">
        <f t="shared" si="2"/>
        <v>2</v>
      </c>
      <c r="T10" s="1">
        <f t="shared" si="3"/>
        <v>2</v>
      </c>
      <c r="U10" s="1">
        <f t="shared" si="4"/>
        <v>4</v>
      </c>
      <c r="V10" s="1">
        <f t="shared" si="5"/>
        <v>4</v>
      </c>
      <c r="W10" s="1">
        <f>100*(S10-D10)/D10</f>
        <v>0</v>
      </c>
      <c r="X10" s="1">
        <f>100*(T10-D10)/D10</f>
        <v>0</v>
      </c>
      <c r="Y10" s="1">
        <f>100*(U10-E10)/E10</f>
        <v>0</v>
      </c>
      <c r="Z10" s="1">
        <f>100*(V10-E10)/E10</f>
        <v>0</v>
      </c>
      <c r="AA10" s="1">
        <f t="shared" si="6"/>
        <v>2E-3</v>
      </c>
      <c r="AC10" s="1">
        <f t="shared" si="7"/>
        <v>2</v>
      </c>
      <c r="AD10" s="1">
        <f t="shared" si="8"/>
        <v>4</v>
      </c>
      <c r="AE10" s="1">
        <f t="shared" si="9"/>
        <v>0</v>
      </c>
      <c r="AF10" s="4">
        <f t="shared" si="10"/>
        <v>2</v>
      </c>
      <c r="AG10" s="4">
        <f t="shared" si="11"/>
        <v>4</v>
      </c>
      <c r="AH10" s="4">
        <f t="shared" si="12"/>
        <v>0</v>
      </c>
      <c r="AI10" s="4">
        <f t="shared" si="13"/>
        <v>2</v>
      </c>
      <c r="AJ10" s="4">
        <f t="shared" si="14"/>
        <v>4</v>
      </c>
      <c r="AK10" s="4">
        <f t="shared" si="15"/>
        <v>0</v>
      </c>
      <c r="AL10" s="4">
        <f t="shared" si="16"/>
        <v>2</v>
      </c>
      <c r="AM10" s="4">
        <f t="shared" si="17"/>
        <v>4</v>
      </c>
      <c r="AN10" s="4">
        <f t="shared" si="18"/>
        <v>0.01</v>
      </c>
      <c r="AO10" s="4">
        <f t="shared" si="19"/>
        <v>2</v>
      </c>
      <c r="AP10" s="4">
        <f t="shared" si="20"/>
        <v>4</v>
      </c>
      <c r="AQ10" s="4">
        <f t="shared" si="21"/>
        <v>0.01</v>
      </c>
      <c r="AR10" s="4">
        <f t="shared" si="22"/>
        <v>2</v>
      </c>
      <c r="AS10" s="4">
        <f t="shared" si="23"/>
        <v>4</v>
      </c>
      <c r="AT10" s="4">
        <f t="shared" si="24"/>
        <v>0</v>
      </c>
      <c r="AU10" s="4">
        <f t="shared" si="25"/>
        <v>2</v>
      </c>
      <c r="AV10" s="4">
        <f t="shared" si="26"/>
        <v>4</v>
      </c>
      <c r="AW10" s="4">
        <f t="shared" si="27"/>
        <v>0</v>
      </c>
      <c r="AX10" s="4">
        <f t="shared" si="28"/>
        <v>2</v>
      </c>
      <c r="AY10" s="4">
        <f t="shared" si="29"/>
        <v>4</v>
      </c>
      <c r="AZ10" s="4">
        <f t="shared" si="30"/>
        <v>0</v>
      </c>
      <c r="BA10" s="4">
        <f t="shared" si="31"/>
        <v>2</v>
      </c>
      <c r="BB10" s="4">
        <f t="shared" si="32"/>
        <v>4</v>
      </c>
      <c r="BC10" s="4">
        <f t="shared" si="33"/>
        <v>0</v>
      </c>
      <c r="BD10" s="4">
        <f t="shared" si="34"/>
        <v>2</v>
      </c>
      <c r="BE10" s="4">
        <f t="shared" si="35"/>
        <v>4</v>
      </c>
      <c r="BF10" s="4">
        <f t="shared" si="36"/>
        <v>0</v>
      </c>
    </row>
    <row r="11" spans="1:58" x14ac:dyDescent="0.25">
      <c r="A11" s="2" t="s">
        <v>6</v>
      </c>
      <c r="B11" s="2">
        <v>12</v>
      </c>
      <c r="C11" s="2">
        <v>8</v>
      </c>
      <c r="D11" s="2">
        <v>2</v>
      </c>
      <c r="E11" s="2">
        <v>4</v>
      </c>
      <c r="F11" s="2">
        <v>1</v>
      </c>
      <c r="H11" s="9" t="s">
        <v>92</v>
      </c>
      <c r="I11" s="9" t="s">
        <v>42</v>
      </c>
      <c r="J11" s="9" t="s">
        <v>33</v>
      </c>
      <c r="K11" s="9">
        <v>8.2200000000000006</v>
      </c>
      <c r="L11" s="2">
        <v>2</v>
      </c>
      <c r="M11" s="2">
        <v>4</v>
      </c>
      <c r="N11" s="2">
        <v>0</v>
      </c>
      <c r="P11" s="4">
        <f>IF(D11*100+E11=L11*100+M11,1,0)</f>
        <v>1</v>
      </c>
      <c r="Q11" s="4">
        <f t="shared" si="37"/>
        <v>1</v>
      </c>
      <c r="R11" s="4">
        <f t="shared" si="38"/>
        <v>1</v>
      </c>
      <c r="S11" s="1">
        <f t="shared" si="2"/>
        <v>2</v>
      </c>
      <c r="T11" s="1">
        <f t="shared" si="3"/>
        <v>2</v>
      </c>
      <c r="U11" s="1">
        <f t="shared" si="4"/>
        <v>4</v>
      </c>
      <c r="V11" s="1">
        <f t="shared" si="5"/>
        <v>4</v>
      </c>
      <c r="W11" s="1">
        <f>100*(S11-D11)/D11</f>
        <v>0</v>
      </c>
      <c r="X11" s="1">
        <f>100*(T11-D11)/D11</f>
        <v>0</v>
      </c>
      <c r="Y11" s="1">
        <f>100*(U11-E11)/E11</f>
        <v>0</v>
      </c>
      <c r="Z11" s="1">
        <f>100*(V11-E11)/E11</f>
        <v>0</v>
      </c>
      <c r="AA11" s="1">
        <f t="shared" si="6"/>
        <v>1E-3</v>
      </c>
      <c r="AC11" s="1">
        <f t="shared" si="7"/>
        <v>2</v>
      </c>
      <c r="AD11" s="1">
        <f t="shared" si="8"/>
        <v>4</v>
      </c>
      <c r="AE11" s="1">
        <f t="shared" si="9"/>
        <v>0</v>
      </c>
      <c r="AF11" s="4">
        <f t="shared" si="10"/>
        <v>2</v>
      </c>
      <c r="AG11" s="4">
        <f t="shared" si="11"/>
        <v>4</v>
      </c>
      <c r="AH11" s="4">
        <f t="shared" si="12"/>
        <v>0</v>
      </c>
      <c r="AI11" s="4">
        <f t="shared" si="13"/>
        <v>2</v>
      </c>
      <c r="AJ11" s="4">
        <f t="shared" si="14"/>
        <v>4</v>
      </c>
      <c r="AK11" s="4">
        <f t="shared" si="15"/>
        <v>0</v>
      </c>
      <c r="AL11" s="4">
        <f t="shared" si="16"/>
        <v>2</v>
      </c>
      <c r="AM11" s="4">
        <f t="shared" si="17"/>
        <v>4</v>
      </c>
      <c r="AN11" s="4">
        <f t="shared" si="18"/>
        <v>0</v>
      </c>
      <c r="AO11" s="4">
        <f t="shared" si="19"/>
        <v>2</v>
      </c>
      <c r="AP11" s="4">
        <f t="shared" si="20"/>
        <v>4</v>
      </c>
      <c r="AQ11" s="4">
        <f t="shared" si="21"/>
        <v>0</v>
      </c>
      <c r="AR11" s="4">
        <f t="shared" si="22"/>
        <v>2</v>
      </c>
      <c r="AS11" s="4">
        <f t="shared" si="23"/>
        <v>4</v>
      </c>
      <c r="AT11" s="4">
        <f t="shared" si="24"/>
        <v>0</v>
      </c>
      <c r="AU11" s="4">
        <f t="shared" si="25"/>
        <v>2</v>
      </c>
      <c r="AV11" s="4">
        <f t="shared" si="26"/>
        <v>4</v>
      </c>
      <c r="AW11" s="4">
        <f t="shared" si="27"/>
        <v>0</v>
      </c>
      <c r="AX11" s="4">
        <f t="shared" si="28"/>
        <v>2</v>
      </c>
      <c r="AY11" s="4">
        <f t="shared" si="29"/>
        <v>4</v>
      </c>
      <c r="AZ11" s="4">
        <f t="shared" si="30"/>
        <v>0.01</v>
      </c>
      <c r="BA11" s="4">
        <f t="shared" si="31"/>
        <v>2</v>
      </c>
      <c r="BB11" s="4">
        <f t="shared" si="32"/>
        <v>4</v>
      </c>
      <c r="BC11" s="4">
        <f t="shared" si="33"/>
        <v>0</v>
      </c>
      <c r="BD11" s="4">
        <f t="shared" si="34"/>
        <v>2</v>
      </c>
      <c r="BE11" s="4">
        <f t="shared" si="35"/>
        <v>4</v>
      </c>
      <c r="BF11" s="4">
        <f t="shared" si="36"/>
        <v>0</v>
      </c>
    </row>
    <row r="12" spans="1:58" x14ac:dyDescent="0.25">
      <c r="A12" s="2" t="s">
        <v>6</v>
      </c>
      <c r="B12" s="2">
        <v>12</v>
      </c>
      <c r="C12" s="2">
        <v>9</v>
      </c>
      <c r="D12" s="2">
        <v>2</v>
      </c>
      <c r="E12" s="2">
        <v>3</v>
      </c>
      <c r="F12" s="2">
        <v>1</v>
      </c>
      <c r="H12" s="9" t="s">
        <v>92</v>
      </c>
      <c r="I12" s="9" t="s">
        <v>43</v>
      </c>
      <c r="J12" s="9" t="s">
        <v>33</v>
      </c>
      <c r="K12" s="9">
        <v>7.31</v>
      </c>
      <c r="L12" s="2">
        <v>2</v>
      </c>
      <c r="M12" s="2">
        <v>3</v>
      </c>
      <c r="N12" s="2">
        <v>0</v>
      </c>
      <c r="P12" s="4">
        <f>IF(D12*100+E12=L12*100+M12,1,0)</f>
        <v>1</v>
      </c>
      <c r="Q12" s="4">
        <f t="shared" si="37"/>
        <v>1</v>
      </c>
      <c r="R12" s="4">
        <f t="shared" si="38"/>
        <v>1</v>
      </c>
      <c r="S12" s="1">
        <f t="shared" si="2"/>
        <v>2</v>
      </c>
      <c r="T12" s="1">
        <f t="shared" si="3"/>
        <v>2</v>
      </c>
      <c r="U12" s="1">
        <f t="shared" si="4"/>
        <v>3</v>
      </c>
      <c r="V12" s="1">
        <f t="shared" si="5"/>
        <v>3</v>
      </c>
      <c r="W12" s="1">
        <f>100*(S12-D12)/D12</f>
        <v>0</v>
      </c>
      <c r="X12" s="1">
        <f>100*(T12-D12)/D12</f>
        <v>0</v>
      </c>
      <c r="Y12" s="1">
        <f>100*(U12-E12)/E12</f>
        <v>0</v>
      </c>
      <c r="Z12" s="1">
        <f>100*(V12-E12)/E12</f>
        <v>0</v>
      </c>
      <c r="AA12" s="1">
        <f t="shared" si="6"/>
        <v>8.9999999999999993E-3</v>
      </c>
      <c r="AC12" s="1">
        <f t="shared" si="7"/>
        <v>2</v>
      </c>
      <c r="AD12" s="1">
        <f t="shared" si="8"/>
        <v>3</v>
      </c>
      <c r="AE12" s="1">
        <f t="shared" si="9"/>
        <v>0</v>
      </c>
      <c r="AF12" s="4">
        <f t="shared" si="10"/>
        <v>2</v>
      </c>
      <c r="AG12" s="4">
        <f t="shared" si="11"/>
        <v>3</v>
      </c>
      <c r="AH12" s="4">
        <f t="shared" si="12"/>
        <v>0</v>
      </c>
      <c r="AI12" s="4">
        <f t="shared" si="13"/>
        <v>2</v>
      </c>
      <c r="AJ12" s="4">
        <f t="shared" si="14"/>
        <v>3</v>
      </c>
      <c r="AK12" s="4">
        <f t="shared" si="15"/>
        <v>0</v>
      </c>
      <c r="AL12" s="4">
        <f t="shared" si="16"/>
        <v>2</v>
      </c>
      <c r="AM12" s="4">
        <f t="shared" si="17"/>
        <v>3</v>
      </c>
      <c r="AN12" s="4">
        <f t="shared" si="18"/>
        <v>0.09</v>
      </c>
      <c r="AO12" s="4">
        <f t="shared" si="19"/>
        <v>2</v>
      </c>
      <c r="AP12" s="4">
        <f t="shared" si="20"/>
        <v>3</v>
      </c>
      <c r="AQ12" s="4">
        <f t="shared" si="21"/>
        <v>0</v>
      </c>
      <c r="AR12" s="4">
        <f t="shared" si="22"/>
        <v>2</v>
      </c>
      <c r="AS12" s="4">
        <f t="shared" si="23"/>
        <v>3</v>
      </c>
      <c r="AT12" s="4">
        <f t="shared" si="24"/>
        <v>0</v>
      </c>
      <c r="AU12" s="4">
        <f t="shared" si="25"/>
        <v>2</v>
      </c>
      <c r="AV12" s="4">
        <f t="shared" si="26"/>
        <v>3</v>
      </c>
      <c r="AW12" s="4">
        <f t="shared" si="27"/>
        <v>0</v>
      </c>
      <c r="AX12" s="4">
        <f t="shared" si="28"/>
        <v>2</v>
      </c>
      <c r="AY12" s="4">
        <f t="shared" si="29"/>
        <v>3</v>
      </c>
      <c r="AZ12" s="4">
        <f t="shared" si="30"/>
        <v>0</v>
      </c>
      <c r="BA12" s="4">
        <f t="shared" si="31"/>
        <v>2</v>
      </c>
      <c r="BB12" s="4">
        <f t="shared" si="32"/>
        <v>3</v>
      </c>
      <c r="BC12" s="4">
        <f t="shared" si="33"/>
        <v>0</v>
      </c>
      <c r="BD12" s="4">
        <f t="shared" si="34"/>
        <v>2</v>
      </c>
      <c r="BE12" s="4">
        <f t="shared" si="35"/>
        <v>3</v>
      </c>
      <c r="BF12" s="4">
        <f t="shared" si="36"/>
        <v>0</v>
      </c>
    </row>
    <row r="13" spans="1:58" x14ac:dyDescent="0.25">
      <c r="A13" s="2" t="s">
        <v>7</v>
      </c>
      <c r="B13" s="2">
        <v>16</v>
      </c>
      <c r="C13" s="2">
        <v>15</v>
      </c>
      <c r="D13" s="2">
        <v>4</v>
      </c>
      <c r="E13" s="2">
        <v>6</v>
      </c>
      <c r="F13" s="2">
        <v>1</v>
      </c>
      <c r="H13" s="9" t="s">
        <v>92</v>
      </c>
      <c r="I13" s="9" t="s">
        <v>44</v>
      </c>
      <c r="J13" s="9" t="s">
        <v>33</v>
      </c>
      <c r="K13" s="9">
        <v>14.68</v>
      </c>
      <c r="L13" s="2">
        <v>4</v>
      </c>
      <c r="M13" s="2">
        <v>6</v>
      </c>
      <c r="N13" s="2">
        <v>300</v>
      </c>
      <c r="P13" s="4">
        <f>IF(D13*100+E13=L13*100+M13,1,0)</f>
        <v>1</v>
      </c>
      <c r="Q13" s="4">
        <f t="shared" si="37"/>
        <v>1</v>
      </c>
      <c r="R13" s="4">
        <f t="shared" si="38"/>
        <v>1</v>
      </c>
      <c r="S13" s="1">
        <f t="shared" si="2"/>
        <v>4</v>
      </c>
      <c r="T13" s="1">
        <f t="shared" si="3"/>
        <v>4</v>
      </c>
      <c r="U13" s="1">
        <f t="shared" si="4"/>
        <v>6</v>
      </c>
      <c r="V13" s="1">
        <f t="shared" si="5"/>
        <v>6</v>
      </c>
      <c r="W13" s="1">
        <f>100*(S13-D13)/D13</f>
        <v>0</v>
      </c>
      <c r="X13" s="1">
        <f>100*(T13-D13)/D13</f>
        <v>0</v>
      </c>
      <c r="Y13" s="1">
        <f>100*(U13-E13)/E13</f>
        <v>0</v>
      </c>
      <c r="Z13" s="1">
        <f>100*(V13-E13)/E13</f>
        <v>0</v>
      </c>
      <c r="AA13" s="1">
        <f t="shared" si="6"/>
        <v>300</v>
      </c>
      <c r="AC13" s="1">
        <f t="shared" si="7"/>
        <v>4</v>
      </c>
      <c r="AD13" s="1">
        <f t="shared" si="8"/>
        <v>6</v>
      </c>
      <c r="AE13" s="1">
        <f t="shared" si="9"/>
        <v>300</v>
      </c>
      <c r="AF13" s="4">
        <f t="shared" si="10"/>
        <v>4</v>
      </c>
      <c r="AG13" s="4">
        <f t="shared" si="11"/>
        <v>6</v>
      </c>
      <c r="AH13" s="4">
        <f t="shared" si="12"/>
        <v>300</v>
      </c>
      <c r="AI13" s="4">
        <f t="shared" si="13"/>
        <v>4</v>
      </c>
      <c r="AJ13" s="4">
        <f t="shared" si="14"/>
        <v>6</v>
      </c>
      <c r="AK13" s="4">
        <f t="shared" si="15"/>
        <v>300</v>
      </c>
      <c r="AL13" s="4">
        <f t="shared" si="16"/>
        <v>4</v>
      </c>
      <c r="AM13" s="4">
        <f t="shared" si="17"/>
        <v>6</v>
      </c>
      <c r="AN13" s="4">
        <f t="shared" si="18"/>
        <v>300</v>
      </c>
      <c r="AO13" s="4">
        <f t="shared" si="19"/>
        <v>4</v>
      </c>
      <c r="AP13" s="4">
        <f t="shared" si="20"/>
        <v>6</v>
      </c>
      <c r="AQ13" s="4">
        <f t="shared" si="21"/>
        <v>300</v>
      </c>
      <c r="AR13" s="4">
        <f t="shared" si="22"/>
        <v>4</v>
      </c>
      <c r="AS13" s="4">
        <f t="shared" si="23"/>
        <v>6</v>
      </c>
      <c r="AT13" s="4">
        <f t="shared" si="24"/>
        <v>300</v>
      </c>
      <c r="AU13" s="4">
        <f t="shared" si="25"/>
        <v>4</v>
      </c>
      <c r="AV13" s="4">
        <f t="shared" si="26"/>
        <v>6</v>
      </c>
      <c r="AW13" s="4">
        <f t="shared" si="27"/>
        <v>300</v>
      </c>
      <c r="AX13" s="4">
        <f t="shared" si="28"/>
        <v>4</v>
      </c>
      <c r="AY13" s="4">
        <f t="shared" si="29"/>
        <v>6</v>
      </c>
      <c r="AZ13" s="4">
        <f t="shared" si="30"/>
        <v>300</v>
      </c>
      <c r="BA13" s="4">
        <f t="shared" si="31"/>
        <v>4</v>
      </c>
      <c r="BB13" s="4">
        <f t="shared" si="32"/>
        <v>6</v>
      </c>
      <c r="BC13" s="4">
        <f t="shared" si="33"/>
        <v>300</v>
      </c>
      <c r="BD13" s="4">
        <f t="shared" si="34"/>
        <v>4</v>
      </c>
      <c r="BE13" s="4">
        <f t="shared" si="35"/>
        <v>6</v>
      </c>
      <c r="BF13" s="4">
        <f t="shared" si="36"/>
        <v>300</v>
      </c>
    </row>
    <row r="14" spans="1:58" x14ac:dyDescent="0.25">
      <c r="A14" s="2" t="s">
        <v>7</v>
      </c>
      <c r="B14" s="2">
        <v>16</v>
      </c>
      <c r="C14" s="2">
        <v>16</v>
      </c>
      <c r="D14" s="2">
        <v>3</v>
      </c>
      <c r="E14" s="2">
        <v>6</v>
      </c>
      <c r="F14" s="2">
        <v>1</v>
      </c>
      <c r="H14" s="9" t="s">
        <v>92</v>
      </c>
      <c r="I14" s="9" t="s">
        <v>45</v>
      </c>
      <c r="J14" s="9" t="s">
        <v>33</v>
      </c>
      <c r="K14" s="9">
        <v>12.29</v>
      </c>
      <c r="L14" s="2">
        <v>3</v>
      </c>
      <c r="M14" s="2">
        <v>6</v>
      </c>
      <c r="N14" s="2">
        <v>0</v>
      </c>
      <c r="P14" s="4">
        <f>IF(D14*100+E14=L14*100+M14,1,0)</f>
        <v>1</v>
      </c>
      <c r="Q14" s="4">
        <f t="shared" si="37"/>
        <v>1</v>
      </c>
      <c r="R14" s="4">
        <f t="shared" si="38"/>
        <v>1</v>
      </c>
      <c r="S14" s="1">
        <f t="shared" si="2"/>
        <v>3</v>
      </c>
      <c r="T14" s="1">
        <f t="shared" si="3"/>
        <v>3</v>
      </c>
      <c r="U14" s="1">
        <f t="shared" si="4"/>
        <v>6</v>
      </c>
      <c r="V14" s="1">
        <f t="shared" si="5"/>
        <v>6</v>
      </c>
      <c r="W14" s="1">
        <f>100*(S14-D14)/D14</f>
        <v>0</v>
      </c>
      <c r="X14" s="1">
        <f>100*(T14-D14)/D14</f>
        <v>0</v>
      </c>
      <c r="Y14" s="1">
        <f>100*(U14-E14)/E14</f>
        <v>0</v>
      </c>
      <c r="Z14" s="1">
        <f>100*(V14-E14)/E14</f>
        <v>0</v>
      </c>
      <c r="AA14" s="1">
        <f t="shared" si="6"/>
        <v>1E-3</v>
      </c>
      <c r="AC14" s="1">
        <f t="shared" si="7"/>
        <v>3</v>
      </c>
      <c r="AD14" s="1">
        <f t="shared" si="8"/>
        <v>6</v>
      </c>
      <c r="AE14" s="1">
        <f t="shared" si="9"/>
        <v>0</v>
      </c>
      <c r="AF14" s="4">
        <f t="shared" si="10"/>
        <v>3</v>
      </c>
      <c r="AG14" s="4">
        <f t="shared" si="11"/>
        <v>6</v>
      </c>
      <c r="AH14" s="4">
        <f t="shared" si="12"/>
        <v>0</v>
      </c>
      <c r="AI14" s="4">
        <f t="shared" si="13"/>
        <v>3</v>
      </c>
      <c r="AJ14" s="4">
        <f t="shared" si="14"/>
        <v>6</v>
      </c>
      <c r="AK14" s="4">
        <f t="shared" si="15"/>
        <v>0</v>
      </c>
      <c r="AL14" s="4">
        <f t="shared" si="16"/>
        <v>3</v>
      </c>
      <c r="AM14" s="4">
        <f t="shared" si="17"/>
        <v>6</v>
      </c>
      <c r="AN14" s="4">
        <f t="shared" si="18"/>
        <v>0</v>
      </c>
      <c r="AO14" s="4">
        <f t="shared" si="19"/>
        <v>3</v>
      </c>
      <c r="AP14" s="4">
        <f t="shared" si="20"/>
        <v>6</v>
      </c>
      <c r="AQ14" s="4">
        <f t="shared" si="21"/>
        <v>0</v>
      </c>
      <c r="AR14" s="4">
        <f t="shared" si="22"/>
        <v>3</v>
      </c>
      <c r="AS14" s="4">
        <f t="shared" si="23"/>
        <v>6</v>
      </c>
      <c r="AT14" s="4">
        <f t="shared" si="24"/>
        <v>0</v>
      </c>
      <c r="AU14" s="4">
        <f t="shared" si="25"/>
        <v>3</v>
      </c>
      <c r="AV14" s="4">
        <f t="shared" si="26"/>
        <v>6</v>
      </c>
      <c r="AW14" s="4">
        <f t="shared" si="27"/>
        <v>0</v>
      </c>
      <c r="AX14" s="4">
        <f t="shared" si="28"/>
        <v>3</v>
      </c>
      <c r="AY14" s="4">
        <f t="shared" si="29"/>
        <v>6</v>
      </c>
      <c r="AZ14" s="4">
        <f t="shared" si="30"/>
        <v>0</v>
      </c>
      <c r="BA14" s="4">
        <f t="shared" si="31"/>
        <v>3</v>
      </c>
      <c r="BB14" s="4">
        <f t="shared" si="32"/>
        <v>6</v>
      </c>
      <c r="BC14" s="4">
        <f t="shared" si="33"/>
        <v>0</v>
      </c>
      <c r="BD14" s="4">
        <f t="shared" si="34"/>
        <v>3</v>
      </c>
      <c r="BE14" s="4">
        <f t="shared" si="35"/>
        <v>6</v>
      </c>
      <c r="BF14" s="4">
        <f t="shared" si="36"/>
        <v>0.01</v>
      </c>
    </row>
    <row r="15" spans="1:58" x14ac:dyDescent="0.25">
      <c r="A15" s="2" t="s">
        <v>7</v>
      </c>
      <c r="B15" s="2">
        <v>16</v>
      </c>
      <c r="C15" s="2">
        <v>18</v>
      </c>
      <c r="D15" s="2">
        <v>3</v>
      </c>
      <c r="E15" s="2">
        <v>6</v>
      </c>
      <c r="F15" s="2">
        <v>1</v>
      </c>
      <c r="H15" s="9" t="s">
        <v>92</v>
      </c>
      <c r="I15" s="9" t="s">
        <v>46</v>
      </c>
      <c r="J15" s="9" t="s">
        <v>33</v>
      </c>
      <c r="K15" s="9">
        <v>12.41</v>
      </c>
      <c r="L15" s="2">
        <v>3</v>
      </c>
      <c r="M15" s="2">
        <v>6</v>
      </c>
      <c r="N15" s="2">
        <v>300</v>
      </c>
      <c r="P15" s="4">
        <f>IF(D15*100+E15=L15*100+M15,1,0)</f>
        <v>1</v>
      </c>
      <c r="Q15" s="4">
        <f t="shared" si="37"/>
        <v>1</v>
      </c>
      <c r="R15" s="4">
        <f t="shared" si="38"/>
        <v>1</v>
      </c>
      <c r="S15" s="1">
        <f t="shared" si="2"/>
        <v>3</v>
      </c>
      <c r="T15" s="1">
        <f t="shared" si="3"/>
        <v>3</v>
      </c>
      <c r="U15" s="1">
        <f t="shared" si="4"/>
        <v>6</v>
      </c>
      <c r="V15" s="1">
        <f t="shared" si="5"/>
        <v>6</v>
      </c>
      <c r="W15" s="1">
        <f>100*(S15-D15)/D15</f>
        <v>0</v>
      </c>
      <c r="X15" s="1">
        <f>100*(T15-D15)/D15</f>
        <v>0</v>
      </c>
      <c r="Y15" s="1">
        <f>100*(U15-E15)/E15</f>
        <v>0</v>
      </c>
      <c r="Z15" s="1">
        <f>100*(V15-E15)/E15</f>
        <v>0</v>
      </c>
      <c r="AA15" s="1">
        <f t="shared" si="6"/>
        <v>300</v>
      </c>
      <c r="AC15" s="1">
        <f t="shared" si="7"/>
        <v>3</v>
      </c>
      <c r="AD15" s="1">
        <f t="shared" si="8"/>
        <v>6</v>
      </c>
      <c r="AE15" s="1">
        <f t="shared" si="9"/>
        <v>300</v>
      </c>
      <c r="AF15" s="4">
        <f t="shared" si="10"/>
        <v>3</v>
      </c>
      <c r="AG15" s="4">
        <f t="shared" si="11"/>
        <v>6</v>
      </c>
      <c r="AH15" s="4">
        <f t="shared" si="12"/>
        <v>300</v>
      </c>
      <c r="AI15" s="4">
        <f t="shared" si="13"/>
        <v>3</v>
      </c>
      <c r="AJ15" s="4">
        <f t="shared" si="14"/>
        <v>6</v>
      </c>
      <c r="AK15" s="4">
        <f t="shared" si="15"/>
        <v>300</v>
      </c>
      <c r="AL15" s="4">
        <f t="shared" si="16"/>
        <v>3</v>
      </c>
      <c r="AM15" s="4">
        <f t="shared" si="17"/>
        <v>6</v>
      </c>
      <c r="AN15" s="4">
        <f t="shared" si="18"/>
        <v>300</v>
      </c>
      <c r="AO15" s="4">
        <f t="shared" si="19"/>
        <v>3</v>
      </c>
      <c r="AP15" s="4">
        <f t="shared" si="20"/>
        <v>6</v>
      </c>
      <c r="AQ15" s="4">
        <f t="shared" si="21"/>
        <v>300</v>
      </c>
      <c r="AR15" s="4">
        <f t="shared" si="22"/>
        <v>3</v>
      </c>
      <c r="AS15" s="4">
        <f t="shared" si="23"/>
        <v>6</v>
      </c>
      <c r="AT15" s="4">
        <f t="shared" si="24"/>
        <v>300</v>
      </c>
      <c r="AU15" s="4">
        <f t="shared" si="25"/>
        <v>3</v>
      </c>
      <c r="AV15" s="4">
        <f t="shared" si="26"/>
        <v>6</v>
      </c>
      <c r="AW15" s="4">
        <f t="shared" si="27"/>
        <v>300</v>
      </c>
      <c r="AX15" s="4">
        <f t="shared" si="28"/>
        <v>3</v>
      </c>
      <c r="AY15" s="4">
        <f t="shared" si="29"/>
        <v>6</v>
      </c>
      <c r="AZ15" s="4">
        <f t="shared" si="30"/>
        <v>300</v>
      </c>
      <c r="BA15" s="4">
        <f t="shared" si="31"/>
        <v>3</v>
      </c>
      <c r="BB15" s="4">
        <f t="shared" si="32"/>
        <v>6</v>
      </c>
      <c r="BC15" s="4">
        <f t="shared" si="33"/>
        <v>300</v>
      </c>
      <c r="BD15" s="4">
        <f t="shared" si="34"/>
        <v>3</v>
      </c>
      <c r="BE15" s="4">
        <f t="shared" si="35"/>
        <v>6</v>
      </c>
      <c r="BF15" s="4">
        <f t="shared" si="36"/>
        <v>300</v>
      </c>
    </row>
    <row r="16" spans="1:58" x14ac:dyDescent="0.25">
      <c r="A16" s="2" t="s">
        <v>7</v>
      </c>
      <c r="B16" s="2">
        <v>16</v>
      </c>
      <c r="C16" s="2">
        <v>19</v>
      </c>
      <c r="D16" s="2">
        <v>3</v>
      </c>
      <c r="E16" s="2">
        <v>5</v>
      </c>
      <c r="F16" s="2">
        <v>1</v>
      </c>
      <c r="H16" s="9" t="s">
        <v>92</v>
      </c>
      <c r="I16" s="9" t="s">
        <v>47</v>
      </c>
      <c r="J16" s="9" t="s">
        <v>33</v>
      </c>
      <c r="K16" s="9">
        <v>12.49</v>
      </c>
      <c r="L16" s="2">
        <v>3</v>
      </c>
      <c r="M16" s="2">
        <v>6</v>
      </c>
      <c r="N16" s="2">
        <v>300</v>
      </c>
      <c r="P16" s="4">
        <f>IF(D16*100+E16=L16*100+M16,1,0)</f>
        <v>0</v>
      </c>
      <c r="Q16" s="4">
        <f t="shared" si="37"/>
        <v>0</v>
      </c>
      <c r="R16" s="4">
        <f t="shared" si="38"/>
        <v>0</v>
      </c>
      <c r="S16" s="1">
        <f t="shared" si="2"/>
        <v>3</v>
      </c>
      <c r="T16" s="1">
        <f t="shared" si="3"/>
        <v>3</v>
      </c>
      <c r="U16" s="1">
        <f t="shared" si="4"/>
        <v>6</v>
      </c>
      <c r="V16" s="1">
        <f t="shared" si="5"/>
        <v>6</v>
      </c>
      <c r="W16" s="1">
        <f>100*(S16-D16)/D16</f>
        <v>0</v>
      </c>
      <c r="X16" s="1">
        <f>100*(T16-D16)/D16</f>
        <v>0</v>
      </c>
      <c r="Y16" s="1">
        <f>100*(U16-E16)/E16</f>
        <v>20</v>
      </c>
      <c r="Z16" s="1">
        <f>100*(V16-E16)/E16</f>
        <v>20</v>
      </c>
      <c r="AA16" s="1">
        <f t="shared" si="6"/>
        <v>300</v>
      </c>
      <c r="AC16" s="1">
        <f t="shared" si="7"/>
        <v>3</v>
      </c>
      <c r="AD16" s="1">
        <f t="shared" si="8"/>
        <v>6</v>
      </c>
      <c r="AE16" s="1">
        <f t="shared" si="9"/>
        <v>300</v>
      </c>
      <c r="AF16" s="4">
        <f t="shared" si="10"/>
        <v>3</v>
      </c>
      <c r="AG16" s="4">
        <f t="shared" si="11"/>
        <v>6</v>
      </c>
      <c r="AH16" s="4">
        <f t="shared" si="12"/>
        <v>300</v>
      </c>
      <c r="AI16" s="4">
        <f t="shared" si="13"/>
        <v>3</v>
      </c>
      <c r="AJ16" s="4">
        <f t="shared" si="14"/>
        <v>6</v>
      </c>
      <c r="AK16" s="4">
        <f t="shared" si="15"/>
        <v>300</v>
      </c>
      <c r="AL16" s="4">
        <f t="shared" si="16"/>
        <v>3</v>
      </c>
      <c r="AM16" s="4">
        <f t="shared" si="17"/>
        <v>6</v>
      </c>
      <c r="AN16" s="4">
        <f t="shared" si="18"/>
        <v>300</v>
      </c>
      <c r="AO16" s="4">
        <f t="shared" si="19"/>
        <v>3</v>
      </c>
      <c r="AP16" s="4">
        <f t="shared" si="20"/>
        <v>6</v>
      </c>
      <c r="AQ16" s="4">
        <f t="shared" si="21"/>
        <v>300</v>
      </c>
      <c r="AR16" s="4">
        <f t="shared" si="22"/>
        <v>3</v>
      </c>
      <c r="AS16" s="4">
        <f t="shared" si="23"/>
        <v>6</v>
      </c>
      <c r="AT16" s="4">
        <f t="shared" si="24"/>
        <v>300</v>
      </c>
      <c r="AU16" s="4">
        <f t="shared" si="25"/>
        <v>3</v>
      </c>
      <c r="AV16" s="4">
        <f t="shared" si="26"/>
        <v>6</v>
      </c>
      <c r="AW16" s="4">
        <f t="shared" si="27"/>
        <v>300</v>
      </c>
      <c r="AX16" s="4">
        <f t="shared" si="28"/>
        <v>3</v>
      </c>
      <c r="AY16" s="4">
        <f t="shared" si="29"/>
        <v>6</v>
      </c>
      <c r="AZ16" s="4">
        <f t="shared" si="30"/>
        <v>300</v>
      </c>
      <c r="BA16" s="4">
        <f t="shared" si="31"/>
        <v>3</v>
      </c>
      <c r="BB16" s="4">
        <f t="shared" si="32"/>
        <v>6</v>
      </c>
      <c r="BC16" s="4">
        <f t="shared" si="33"/>
        <v>300</v>
      </c>
      <c r="BD16" s="4">
        <f t="shared" si="34"/>
        <v>3</v>
      </c>
      <c r="BE16" s="4">
        <f t="shared" si="35"/>
        <v>6</v>
      </c>
      <c r="BF16" s="4">
        <f t="shared" si="36"/>
        <v>300</v>
      </c>
    </row>
    <row r="17" spans="1:58" x14ac:dyDescent="0.25">
      <c r="A17" s="2" t="s">
        <v>7</v>
      </c>
      <c r="B17" s="2">
        <v>16</v>
      </c>
      <c r="C17" s="2">
        <v>20</v>
      </c>
      <c r="D17" s="2">
        <v>3</v>
      </c>
      <c r="E17" s="2">
        <v>5</v>
      </c>
      <c r="F17" s="2">
        <v>1</v>
      </c>
      <c r="H17" s="9" t="s">
        <v>92</v>
      </c>
      <c r="I17" s="9" t="s">
        <v>48</v>
      </c>
      <c r="J17" s="9" t="s">
        <v>33</v>
      </c>
      <c r="K17" s="9">
        <v>12.57</v>
      </c>
      <c r="L17" s="2">
        <v>3</v>
      </c>
      <c r="M17" s="2">
        <v>6</v>
      </c>
      <c r="N17" s="2">
        <v>300</v>
      </c>
      <c r="P17" s="4">
        <f>IF(D17*100+E17=L17*100+M17,1,0)</f>
        <v>0</v>
      </c>
      <c r="Q17" s="4">
        <f t="shared" si="37"/>
        <v>0</v>
      </c>
      <c r="R17" s="4">
        <f t="shared" si="38"/>
        <v>0</v>
      </c>
      <c r="S17" s="1">
        <f t="shared" si="2"/>
        <v>3</v>
      </c>
      <c r="T17" s="1">
        <f t="shared" si="3"/>
        <v>3</v>
      </c>
      <c r="U17" s="1">
        <f t="shared" si="4"/>
        <v>6</v>
      </c>
      <c r="V17" s="1">
        <f t="shared" si="5"/>
        <v>6</v>
      </c>
      <c r="W17" s="1">
        <f>100*(S17-D17)/D17</f>
        <v>0</v>
      </c>
      <c r="X17" s="1">
        <f>100*(T17-D17)/D17</f>
        <v>0</v>
      </c>
      <c r="Y17" s="1">
        <f>100*(U17-E17)/E17</f>
        <v>20</v>
      </c>
      <c r="Z17" s="1">
        <f>100*(V17-E17)/E17</f>
        <v>20</v>
      </c>
      <c r="AA17" s="1">
        <f t="shared" si="6"/>
        <v>300</v>
      </c>
      <c r="AC17" s="1">
        <f t="shared" si="7"/>
        <v>3</v>
      </c>
      <c r="AD17" s="1">
        <f t="shared" si="8"/>
        <v>6</v>
      </c>
      <c r="AE17" s="1">
        <f t="shared" si="9"/>
        <v>300</v>
      </c>
      <c r="AF17" s="4">
        <f t="shared" si="10"/>
        <v>3</v>
      </c>
      <c r="AG17" s="4">
        <f t="shared" si="11"/>
        <v>6</v>
      </c>
      <c r="AH17" s="4">
        <f t="shared" si="12"/>
        <v>300</v>
      </c>
      <c r="AI17" s="4">
        <f t="shared" si="13"/>
        <v>3</v>
      </c>
      <c r="AJ17" s="4">
        <f t="shared" si="14"/>
        <v>6</v>
      </c>
      <c r="AK17" s="4">
        <f t="shared" si="15"/>
        <v>300</v>
      </c>
      <c r="AL17" s="4">
        <f t="shared" si="16"/>
        <v>3</v>
      </c>
      <c r="AM17" s="4">
        <f t="shared" si="17"/>
        <v>6</v>
      </c>
      <c r="AN17" s="4">
        <f t="shared" si="18"/>
        <v>300</v>
      </c>
      <c r="AO17" s="4">
        <f t="shared" si="19"/>
        <v>3</v>
      </c>
      <c r="AP17" s="4">
        <f t="shared" si="20"/>
        <v>6</v>
      </c>
      <c r="AQ17" s="4">
        <f t="shared" si="21"/>
        <v>300</v>
      </c>
      <c r="AR17" s="4">
        <f t="shared" si="22"/>
        <v>3</v>
      </c>
      <c r="AS17" s="4">
        <f t="shared" si="23"/>
        <v>6</v>
      </c>
      <c r="AT17" s="4">
        <f t="shared" si="24"/>
        <v>300</v>
      </c>
      <c r="AU17" s="4">
        <f t="shared" si="25"/>
        <v>3</v>
      </c>
      <c r="AV17" s="4">
        <f t="shared" si="26"/>
        <v>6</v>
      </c>
      <c r="AW17" s="4">
        <f t="shared" si="27"/>
        <v>300</v>
      </c>
      <c r="AX17" s="4">
        <f t="shared" si="28"/>
        <v>3</v>
      </c>
      <c r="AY17" s="4">
        <f t="shared" si="29"/>
        <v>6</v>
      </c>
      <c r="AZ17" s="4">
        <f t="shared" si="30"/>
        <v>300</v>
      </c>
      <c r="BA17" s="4">
        <f t="shared" si="31"/>
        <v>3</v>
      </c>
      <c r="BB17" s="4">
        <f t="shared" si="32"/>
        <v>6</v>
      </c>
      <c r="BC17" s="4">
        <f t="shared" si="33"/>
        <v>300</v>
      </c>
      <c r="BD17" s="4">
        <f t="shared" si="34"/>
        <v>3</v>
      </c>
      <c r="BE17" s="4">
        <f t="shared" si="35"/>
        <v>6</v>
      </c>
      <c r="BF17" s="4">
        <f t="shared" si="36"/>
        <v>300</v>
      </c>
    </row>
    <row r="18" spans="1:58" x14ac:dyDescent="0.25">
      <c r="A18" s="2" t="s">
        <v>7</v>
      </c>
      <c r="B18" s="2">
        <v>16</v>
      </c>
      <c r="C18" s="2">
        <v>21</v>
      </c>
      <c r="D18" s="2">
        <v>3</v>
      </c>
      <c r="E18" s="2">
        <v>5</v>
      </c>
      <c r="F18" s="2">
        <v>1</v>
      </c>
      <c r="H18" s="9" t="s">
        <v>92</v>
      </c>
      <c r="I18" s="9" t="s">
        <v>49</v>
      </c>
      <c r="J18" s="9" t="s">
        <v>33</v>
      </c>
      <c r="K18" s="9">
        <v>11.57</v>
      </c>
      <c r="L18" s="2">
        <v>3</v>
      </c>
      <c r="M18" s="2">
        <v>5</v>
      </c>
      <c r="N18" s="2">
        <v>300</v>
      </c>
      <c r="P18" s="4">
        <f>IF(D18*100+E18=L18*100+M18,1,0)</f>
        <v>1</v>
      </c>
      <c r="Q18" s="4">
        <f t="shared" si="37"/>
        <v>1</v>
      </c>
      <c r="R18" s="4">
        <f t="shared" si="38"/>
        <v>1</v>
      </c>
      <c r="S18" s="1">
        <f t="shared" si="2"/>
        <v>3</v>
      </c>
      <c r="T18" s="1">
        <f t="shared" si="3"/>
        <v>3</v>
      </c>
      <c r="U18" s="1">
        <f t="shared" si="4"/>
        <v>5</v>
      </c>
      <c r="V18" s="1">
        <f t="shared" si="5"/>
        <v>5</v>
      </c>
      <c r="W18" s="1">
        <f>100*(S18-D18)/D18</f>
        <v>0</v>
      </c>
      <c r="X18" s="1">
        <f>100*(T18-D18)/D18</f>
        <v>0</v>
      </c>
      <c r="Y18" s="1">
        <f>100*(U18-E18)/E18</f>
        <v>0</v>
      </c>
      <c r="Z18" s="1">
        <f>100*(V18-E18)/E18</f>
        <v>0</v>
      </c>
      <c r="AA18" s="1">
        <f t="shared" si="6"/>
        <v>300</v>
      </c>
      <c r="AC18" s="1">
        <f t="shared" si="7"/>
        <v>3</v>
      </c>
      <c r="AD18" s="1">
        <f t="shared" si="8"/>
        <v>5</v>
      </c>
      <c r="AE18" s="1">
        <f t="shared" ref="AE18:AE27" si="39">N18</f>
        <v>300</v>
      </c>
      <c r="AF18" s="4">
        <f t="shared" si="10"/>
        <v>3</v>
      </c>
      <c r="AG18" s="4">
        <f t="shared" si="11"/>
        <v>5</v>
      </c>
      <c r="AH18" s="4">
        <f t="shared" ref="AH18:AH60" si="40">N77</f>
        <v>300</v>
      </c>
      <c r="AI18" s="4">
        <f t="shared" si="13"/>
        <v>3</v>
      </c>
      <c r="AJ18" s="4">
        <f t="shared" si="14"/>
        <v>5</v>
      </c>
      <c r="AK18" s="4">
        <f t="shared" ref="AK18:AK60" si="41">N136</f>
        <v>300</v>
      </c>
      <c r="AL18" s="4">
        <f t="shared" si="16"/>
        <v>3</v>
      </c>
      <c r="AM18" s="4">
        <f t="shared" si="17"/>
        <v>5</v>
      </c>
      <c r="AN18" s="4">
        <f t="shared" ref="AN18:AN60" si="42">N195</f>
        <v>300</v>
      </c>
      <c r="AO18" s="4">
        <f t="shared" si="19"/>
        <v>3</v>
      </c>
      <c r="AP18" s="4">
        <f t="shared" si="20"/>
        <v>5</v>
      </c>
      <c r="AQ18" s="4">
        <f t="shared" ref="AQ18:AQ60" si="43">N254</f>
        <v>300</v>
      </c>
      <c r="AR18" s="4">
        <f t="shared" si="22"/>
        <v>3</v>
      </c>
      <c r="AS18" s="4">
        <f t="shared" si="23"/>
        <v>5</v>
      </c>
      <c r="AT18" s="4">
        <f t="shared" ref="AT18:AT60" si="44">N313</f>
        <v>300</v>
      </c>
      <c r="AU18" s="4">
        <f t="shared" si="25"/>
        <v>3</v>
      </c>
      <c r="AV18" s="4">
        <f t="shared" si="26"/>
        <v>5</v>
      </c>
      <c r="AW18" s="4">
        <f t="shared" ref="AW18:AW60" si="45">N372</f>
        <v>300</v>
      </c>
      <c r="AX18" s="4">
        <f t="shared" si="28"/>
        <v>3</v>
      </c>
      <c r="AY18" s="4">
        <f t="shared" si="29"/>
        <v>5</v>
      </c>
      <c r="AZ18" s="4">
        <f t="shared" ref="AZ18:AZ60" si="46">N431</f>
        <v>300</v>
      </c>
      <c r="BA18" s="4">
        <f t="shared" si="31"/>
        <v>3</v>
      </c>
      <c r="BB18" s="4">
        <f t="shared" si="32"/>
        <v>5</v>
      </c>
      <c r="BC18" s="4">
        <f t="shared" ref="BC18:BC60" si="47">N490</f>
        <v>300</v>
      </c>
      <c r="BD18" s="4">
        <f t="shared" si="34"/>
        <v>3</v>
      </c>
      <c r="BE18" s="4">
        <f t="shared" si="35"/>
        <v>5</v>
      </c>
      <c r="BF18" s="4">
        <f t="shared" ref="BF18:BF60" si="48">N549</f>
        <v>300</v>
      </c>
    </row>
    <row r="19" spans="1:58" x14ac:dyDescent="0.25">
      <c r="A19" s="2" t="s">
        <v>7</v>
      </c>
      <c r="B19" s="2">
        <v>16</v>
      </c>
      <c r="C19" s="2">
        <v>22</v>
      </c>
      <c r="D19" s="2">
        <v>2</v>
      </c>
      <c r="E19" s="2">
        <v>4</v>
      </c>
      <c r="F19" s="2">
        <v>1</v>
      </c>
      <c r="H19" s="9" t="s">
        <v>92</v>
      </c>
      <c r="I19" s="9" t="s">
        <v>50</v>
      </c>
      <c r="J19" s="9" t="s">
        <v>33</v>
      </c>
      <c r="K19" s="9">
        <v>8.1</v>
      </c>
      <c r="L19" s="2">
        <v>2</v>
      </c>
      <c r="M19" s="2">
        <v>4</v>
      </c>
      <c r="N19" s="2">
        <v>0</v>
      </c>
      <c r="P19" s="4">
        <f>IF(D19*100+E19=L19*100+M19,1,0)</f>
        <v>1</v>
      </c>
      <c r="Q19" s="4">
        <f t="shared" si="37"/>
        <v>1</v>
      </c>
      <c r="R19" s="4">
        <f t="shared" si="38"/>
        <v>1</v>
      </c>
      <c r="S19" s="1">
        <f t="shared" si="2"/>
        <v>2</v>
      </c>
      <c r="T19" s="1">
        <f t="shared" si="3"/>
        <v>2</v>
      </c>
      <c r="U19" s="1">
        <f t="shared" si="4"/>
        <v>4</v>
      </c>
      <c r="V19" s="1">
        <f t="shared" si="5"/>
        <v>4</v>
      </c>
      <c r="W19" s="1">
        <f>100*(S19-D19)/D19</f>
        <v>0</v>
      </c>
      <c r="X19" s="1">
        <f>100*(T19-D19)/D19</f>
        <v>0</v>
      </c>
      <c r="Y19" s="1">
        <f>100*(U19-E19)/E19</f>
        <v>0</v>
      </c>
      <c r="Z19" s="1">
        <f>100*(V19-E19)/E19</f>
        <v>0</v>
      </c>
      <c r="AA19" s="1">
        <f t="shared" si="6"/>
        <v>1E-3</v>
      </c>
      <c r="AC19" s="1">
        <f t="shared" si="7"/>
        <v>2</v>
      </c>
      <c r="AD19" s="1">
        <f t="shared" si="8"/>
        <v>4</v>
      </c>
      <c r="AE19" s="1">
        <f t="shared" si="39"/>
        <v>0</v>
      </c>
      <c r="AF19" s="4">
        <f t="shared" si="10"/>
        <v>2</v>
      </c>
      <c r="AG19" s="4">
        <f t="shared" si="11"/>
        <v>4</v>
      </c>
      <c r="AH19" s="4">
        <f t="shared" si="40"/>
        <v>0</v>
      </c>
      <c r="AI19" s="4">
        <f t="shared" si="13"/>
        <v>2</v>
      </c>
      <c r="AJ19" s="4">
        <f t="shared" si="14"/>
        <v>4</v>
      </c>
      <c r="AK19" s="4">
        <f t="shared" si="41"/>
        <v>0</v>
      </c>
      <c r="AL19" s="4">
        <f t="shared" si="16"/>
        <v>2</v>
      </c>
      <c r="AM19" s="4">
        <f t="shared" si="17"/>
        <v>4</v>
      </c>
      <c r="AN19" s="4">
        <f t="shared" si="42"/>
        <v>0.01</v>
      </c>
      <c r="AO19" s="4">
        <f t="shared" si="19"/>
        <v>2</v>
      </c>
      <c r="AP19" s="4">
        <f t="shared" si="20"/>
        <v>4</v>
      </c>
      <c r="AQ19" s="4">
        <f t="shared" si="43"/>
        <v>0</v>
      </c>
      <c r="AR19" s="4">
        <f t="shared" si="22"/>
        <v>2</v>
      </c>
      <c r="AS19" s="4">
        <f t="shared" si="23"/>
        <v>4</v>
      </c>
      <c r="AT19" s="4">
        <f t="shared" si="44"/>
        <v>0</v>
      </c>
      <c r="AU19" s="4">
        <f t="shared" si="25"/>
        <v>2</v>
      </c>
      <c r="AV19" s="4">
        <f t="shared" si="26"/>
        <v>4</v>
      </c>
      <c r="AW19" s="4">
        <f t="shared" si="45"/>
        <v>0</v>
      </c>
      <c r="AX19" s="4">
        <f t="shared" si="28"/>
        <v>2</v>
      </c>
      <c r="AY19" s="4">
        <f t="shared" si="29"/>
        <v>4</v>
      </c>
      <c r="AZ19" s="4">
        <f t="shared" si="46"/>
        <v>0</v>
      </c>
      <c r="BA19" s="4">
        <f t="shared" si="31"/>
        <v>2</v>
      </c>
      <c r="BB19" s="4">
        <f t="shared" si="32"/>
        <v>4</v>
      </c>
      <c r="BC19" s="4">
        <f t="shared" si="47"/>
        <v>0</v>
      </c>
      <c r="BD19" s="4">
        <f t="shared" si="34"/>
        <v>2</v>
      </c>
      <c r="BE19" s="4">
        <f t="shared" si="35"/>
        <v>4</v>
      </c>
      <c r="BF19" s="4">
        <f t="shared" si="48"/>
        <v>0</v>
      </c>
    </row>
    <row r="20" spans="1:58" x14ac:dyDescent="0.25">
      <c r="A20" s="2" t="s">
        <v>8</v>
      </c>
      <c r="B20" s="2">
        <v>24</v>
      </c>
      <c r="C20" s="2">
        <v>18</v>
      </c>
      <c r="D20" s="2">
        <v>4</v>
      </c>
      <c r="E20" s="2">
        <v>8</v>
      </c>
      <c r="F20" s="2">
        <v>1</v>
      </c>
      <c r="H20" s="9" t="s">
        <v>92</v>
      </c>
      <c r="I20" s="9" t="s">
        <v>51</v>
      </c>
      <c r="J20" s="9" t="s">
        <v>33</v>
      </c>
      <c r="K20" s="9">
        <v>16.059999999999999</v>
      </c>
      <c r="L20" s="2">
        <v>4</v>
      </c>
      <c r="M20" s="2">
        <v>8</v>
      </c>
      <c r="N20" s="2">
        <v>0</v>
      </c>
      <c r="P20" s="4">
        <f>IF(D20*100+E20=L20*100+M20,1,0)</f>
        <v>1</v>
      </c>
      <c r="Q20" s="4">
        <f t="shared" si="37"/>
        <v>1</v>
      </c>
      <c r="R20" s="4">
        <f t="shared" si="38"/>
        <v>1</v>
      </c>
      <c r="S20" s="1">
        <f t="shared" si="2"/>
        <v>4</v>
      </c>
      <c r="T20" s="1">
        <f t="shared" si="3"/>
        <v>4</v>
      </c>
      <c r="U20" s="1">
        <f t="shared" si="4"/>
        <v>8</v>
      </c>
      <c r="V20" s="1">
        <f t="shared" si="5"/>
        <v>8</v>
      </c>
      <c r="W20" s="1">
        <f>100*(S20-D20)/D20</f>
        <v>0</v>
      </c>
      <c r="X20" s="1">
        <f>100*(T20-D20)/D20</f>
        <v>0</v>
      </c>
      <c r="Y20" s="1">
        <f>100*(U20-E20)/E20</f>
        <v>0</v>
      </c>
      <c r="Z20" s="1">
        <f>100*(V20-E20)/E20</f>
        <v>0</v>
      </c>
      <c r="AA20" s="1">
        <f t="shared" si="6"/>
        <v>5.0000000000000001E-3</v>
      </c>
      <c r="AC20" s="1">
        <f t="shared" si="7"/>
        <v>4</v>
      </c>
      <c r="AD20" s="1">
        <f t="shared" si="8"/>
        <v>8</v>
      </c>
      <c r="AE20" s="1">
        <f t="shared" si="39"/>
        <v>0</v>
      </c>
      <c r="AF20" s="4">
        <f t="shared" si="10"/>
        <v>4</v>
      </c>
      <c r="AG20" s="4">
        <f t="shared" si="11"/>
        <v>8</v>
      </c>
      <c r="AH20" s="4">
        <f t="shared" si="40"/>
        <v>0.01</v>
      </c>
      <c r="AI20" s="4">
        <f t="shared" si="13"/>
        <v>4</v>
      </c>
      <c r="AJ20" s="4">
        <f t="shared" si="14"/>
        <v>8</v>
      </c>
      <c r="AK20" s="4">
        <f t="shared" si="41"/>
        <v>0</v>
      </c>
      <c r="AL20" s="4">
        <f t="shared" si="16"/>
        <v>4</v>
      </c>
      <c r="AM20" s="4">
        <f t="shared" si="17"/>
        <v>8</v>
      </c>
      <c r="AN20" s="4">
        <f t="shared" si="42"/>
        <v>0</v>
      </c>
      <c r="AO20" s="4">
        <f t="shared" si="19"/>
        <v>4</v>
      </c>
      <c r="AP20" s="4">
        <f t="shared" si="20"/>
        <v>8</v>
      </c>
      <c r="AQ20" s="4">
        <f t="shared" si="43"/>
        <v>0.01</v>
      </c>
      <c r="AR20" s="4">
        <f t="shared" si="22"/>
        <v>4</v>
      </c>
      <c r="AS20" s="4">
        <f t="shared" si="23"/>
        <v>8</v>
      </c>
      <c r="AT20" s="4">
        <f t="shared" si="44"/>
        <v>0</v>
      </c>
      <c r="AU20" s="4">
        <f t="shared" si="25"/>
        <v>4</v>
      </c>
      <c r="AV20" s="4">
        <f t="shared" si="26"/>
        <v>8</v>
      </c>
      <c r="AW20" s="4">
        <f t="shared" si="45"/>
        <v>0.01</v>
      </c>
      <c r="AX20" s="4">
        <f t="shared" si="28"/>
        <v>4</v>
      </c>
      <c r="AY20" s="4">
        <f t="shared" si="29"/>
        <v>8</v>
      </c>
      <c r="AZ20" s="4">
        <f t="shared" si="46"/>
        <v>0.01</v>
      </c>
      <c r="BA20" s="4">
        <f t="shared" si="31"/>
        <v>4</v>
      </c>
      <c r="BB20" s="4">
        <f t="shared" si="32"/>
        <v>8</v>
      </c>
      <c r="BC20" s="4">
        <f t="shared" si="47"/>
        <v>0.01</v>
      </c>
      <c r="BD20" s="4">
        <f t="shared" si="34"/>
        <v>4</v>
      </c>
      <c r="BE20" s="4">
        <f t="shared" si="35"/>
        <v>8</v>
      </c>
      <c r="BF20" s="4">
        <f t="shared" si="48"/>
        <v>0</v>
      </c>
    </row>
    <row r="21" spans="1:58" x14ac:dyDescent="0.25">
      <c r="A21" s="2" t="s">
        <v>8</v>
      </c>
      <c r="B21" s="2">
        <v>24</v>
      </c>
      <c r="C21" s="2">
        <v>20</v>
      </c>
      <c r="D21" s="2">
        <v>4</v>
      </c>
      <c r="E21" s="2">
        <v>7</v>
      </c>
      <c r="F21" s="2">
        <v>1</v>
      </c>
      <c r="H21" s="9" t="s">
        <v>92</v>
      </c>
      <c r="I21" s="9" t="s">
        <v>52</v>
      </c>
      <c r="J21" s="9" t="s">
        <v>33</v>
      </c>
      <c r="K21" s="9">
        <v>16.16</v>
      </c>
      <c r="L21" s="2">
        <v>4</v>
      </c>
      <c r="M21" s="2">
        <v>8</v>
      </c>
      <c r="N21" s="2">
        <v>300</v>
      </c>
      <c r="P21" s="4">
        <f>IF(D21*100+E21=L21*100+M21,1,0)</f>
        <v>0</v>
      </c>
      <c r="Q21" s="4">
        <f t="shared" si="37"/>
        <v>0</v>
      </c>
      <c r="R21" s="4">
        <f t="shared" si="38"/>
        <v>0</v>
      </c>
      <c r="S21" s="1">
        <f t="shared" si="2"/>
        <v>4</v>
      </c>
      <c r="T21" s="1">
        <f t="shared" si="3"/>
        <v>4</v>
      </c>
      <c r="U21" s="1">
        <f t="shared" si="4"/>
        <v>8</v>
      </c>
      <c r="V21" s="1">
        <f t="shared" si="5"/>
        <v>8</v>
      </c>
      <c r="W21" s="1">
        <f>100*(S21-D21)/D21</f>
        <v>0</v>
      </c>
      <c r="X21" s="1">
        <f>100*(T21-D21)/D21</f>
        <v>0</v>
      </c>
      <c r="Y21" s="1">
        <f>100*(U21-E21)/E21</f>
        <v>14.285714285714286</v>
      </c>
      <c r="Z21" s="1">
        <f>100*(V21-E21)/E21</f>
        <v>14.285714285714286</v>
      </c>
      <c r="AA21" s="1">
        <f t="shared" si="6"/>
        <v>300</v>
      </c>
      <c r="AC21" s="1">
        <f t="shared" si="7"/>
        <v>4</v>
      </c>
      <c r="AD21" s="1">
        <f t="shared" si="8"/>
        <v>8</v>
      </c>
      <c r="AE21" s="1">
        <f t="shared" si="39"/>
        <v>300</v>
      </c>
      <c r="AF21" s="4">
        <f t="shared" si="10"/>
        <v>4</v>
      </c>
      <c r="AG21" s="4">
        <f t="shared" si="11"/>
        <v>8</v>
      </c>
      <c r="AH21" s="4">
        <f t="shared" si="40"/>
        <v>300</v>
      </c>
      <c r="AI21" s="4">
        <f t="shared" si="13"/>
        <v>4</v>
      </c>
      <c r="AJ21" s="4">
        <f t="shared" si="14"/>
        <v>8</v>
      </c>
      <c r="AK21" s="4">
        <f t="shared" si="41"/>
        <v>300</v>
      </c>
      <c r="AL21" s="4">
        <f t="shared" si="16"/>
        <v>4</v>
      </c>
      <c r="AM21" s="4">
        <f t="shared" si="17"/>
        <v>8</v>
      </c>
      <c r="AN21" s="4">
        <f t="shared" si="42"/>
        <v>300</v>
      </c>
      <c r="AO21" s="4">
        <f t="shared" si="19"/>
        <v>4</v>
      </c>
      <c r="AP21" s="4">
        <f t="shared" si="20"/>
        <v>8</v>
      </c>
      <c r="AQ21" s="4">
        <f t="shared" si="43"/>
        <v>300</v>
      </c>
      <c r="AR21" s="4">
        <f t="shared" si="22"/>
        <v>4</v>
      </c>
      <c r="AS21" s="4">
        <f t="shared" si="23"/>
        <v>8</v>
      </c>
      <c r="AT21" s="4">
        <f t="shared" si="44"/>
        <v>300</v>
      </c>
      <c r="AU21" s="4">
        <f t="shared" si="25"/>
        <v>4</v>
      </c>
      <c r="AV21" s="4">
        <f t="shared" si="26"/>
        <v>8</v>
      </c>
      <c r="AW21" s="4">
        <f t="shared" si="45"/>
        <v>300</v>
      </c>
      <c r="AX21" s="4">
        <f t="shared" si="28"/>
        <v>4</v>
      </c>
      <c r="AY21" s="4">
        <f t="shared" si="29"/>
        <v>8</v>
      </c>
      <c r="AZ21" s="4">
        <f t="shared" si="46"/>
        <v>300</v>
      </c>
      <c r="BA21" s="4">
        <f t="shared" si="31"/>
        <v>4</v>
      </c>
      <c r="BB21" s="4">
        <f t="shared" si="32"/>
        <v>8</v>
      </c>
      <c r="BC21" s="4">
        <f t="shared" si="47"/>
        <v>300</v>
      </c>
      <c r="BD21" s="4">
        <f t="shared" si="34"/>
        <v>4</v>
      </c>
      <c r="BE21" s="4">
        <f t="shared" si="35"/>
        <v>8</v>
      </c>
      <c r="BF21" s="4">
        <f t="shared" si="48"/>
        <v>300</v>
      </c>
    </row>
    <row r="22" spans="1:58" x14ac:dyDescent="0.25">
      <c r="A22" s="2" t="s">
        <v>8</v>
      </c>
      <c r="B22" s="2">
        <v>24</v>
      </c>
      <c r="C22" s="2">
        <v>24</v>
      </c>
      <c r="D22" s="2">
        <v>3</v>
      </c>
      <c r="E22" s="2">
        <v>6</v>
      </c>
      <c r="F22" s="2">
        <v>1</v>
      </c>
      <c r="H22" s="9" t="s">
        <v>92</v>
      </c>
      <c r="I22" s="9" t="s">
        <v>53</v>
      </c>
      <c r="J22" s="9" t="s">
        <v>33</v>
      </c>
      <c r="K22" s="9">
        <v>12.03</v>
      </c>
      <c r="L22" s="2">
        <v>3</v>
      </c>
      <c r="M22" s="2">
        <v>6</v>
      </c>
      <c r="N22" s="2">
        <v>0</v>
      </c>
      <c r="P22" s="4">
        <f>IF(D22*100+E22=L22*100+M22,1,0)</f>
        <v>1</v>
      </c>
      <c r="Q22" s="4">
        <f t="shared" si="37"/>
        <v>1</v>
      </c>
      <c r="R22" s="4">
        <f t="shared" si="38"/>
        <v>0.9</v>
      </c>
      <c r="S22" s="1">
        <f t="shared" si="2"/>
        <v>3</v>
      </c>
      <c r="T22" s="1">
        <f t="shared" si="3"/>
        <v>3.1</v>
      </c>
      <c r="U22" s="1">
        <f t="shared" si="4"/>
        <v>6</v>
      </c>
      <c r="V22" s="1">
        <f t="shared" si="5"/>
        <v>6.1</v>
      </c>
      <c r="W22" s="1">
        <f>100*(S22-D22)/D22</f>
        <v>0</v>
      </c>
      <c r="X22" s="1">
        <f>100*(T22-D22)/D22</f>
        <v>3.3333333333333361</v>
      </c>
      <c r="Y22" s="1">
        <f>100*(U22-E22)/E22</f>
        <v>0</v>
      </c>
      <c r="Z22" s="1">
        <f>100*(V22-E22)/E22</f>
        <v>1.6666666666666607</v>
      </c>
      <c r="AA22" s="1">
        <f t="shared" si="6"/>
        <v>30.05</v>
      </c>
      <c r="AC22" s="1">
        <f t="shared" si="7"/>
        <v>3</v>
      </c>
      <c r="AD22" s="1">
        <f t="shared" si="8"/>
        <v>6</v>
      </c>
      <c r="AE22" s="1">
        <f t="shared" si="39"/>
        <v>0</v>
      </c>
      <c r="AF22" s="4">
        <f t="shared" si="10"/>
        <v>3</v>
      </c>
      <c r="AG22" s="4">
        <f t="shared" si="11"/>
        <v>6</v>
      </c>
      <c r="AH22" s="4">
        <f t="shared" si="40"/>
        <v>0</v>
      </c>
      <c r="AI22" s="4">
        <f t="shared" si="13"/>
        <v>3</v>
      </c>
      <c r="AJ22" s="4">
        <f t="shared" si="14"/>
        <v>6</v>
      </c>
      <c r="AK22" s="4">
        <f t="shared" si="41"/>
        <v>0.01</v>
      </c>
      <c r="AL22" s="4">
        <f t="shared" si="16"/>
        <v>3</v>
      </c>
      <c r="AM22" s="4">
        <f t="shared" si="17"/>
        <v>6</v>
      </c>
      <c r="AN22" s="4">
        <f t="shared" si="42"/>
        <v>0.01</v>
      </c>
      <c r="AO22" s="4">
        <f t="shared" si="19"/>
        <v>3</v>
      </c>
      <c r="AP22" s="4">
        <f t="shared" si="20"/>
        <v>6</v>
      </c>
      <c r="AQ22" s="4">
        <f t="shared" si="43"/>
        <v>0.01</v>
      </c>
      <c r="AR22" s="4">
        <f t="shared" si="22"/>
        <v>3</v>
      </c>
      <c r="AS22" s="4">
        <f t="shared" si="23"/>
        <v>6</v>
      </c>
      <c r="AT22" s="4">
        <f t="shared" si="44"/>
        <v>0</v>
      </c>
      <c r="AU22" s="4">
        <f t="shared" si="25"/>
        <v>3</v>
      </c>
      <c r="AV22" s="4">
        <f t="shared" si="26"/>
        <v>6</v>
      </c>
      <c r="AW22" s="4">
        <f t="shared" si="45"/>
        <v>0.01</v>
      </c>
      <c r="AX22" s="4">
        <f t="shared" si="28"/>
        <v>3</v>
      </c>
      <c r="AY22" s="4">
        <f t="shared" si="29"/>
        <v>6</v>
      </c>
      <c r="AZ22" s="4">
        <f t="shared" si="46"/>
        <v>0.46</v>
      </c>
      <c r="BA22" s="4">
        <f t="shared" si="31"/>
        <v>3</v>
      </c>
      <c r="BB22" s="4">
        <f t="shared" si="32"/>
        <v>6</v>
      </c>
      <c r="BC22" s="4">
        <f t="shared" si="47"/>
        <v>0</v>
      </c>
      <c r="BD22" s="4">
        <f t="shared" si="34"/>
        <v>4</v>
      </c>
      <c r="BE22" s="4">
        <f t="shared" si="35"/>
        <v>7</v>
      </c>
      <c r="BF22" s="4">
        <f t="shared" si="48"/>
        <v>300</v>
      </c>
    </row>
    <row r="23" spans="1:58" x14ac:dyDescent="0.25">
      <c r="A23" s="2" t="s">
        <v>8</v>
      </c>
      <c r="B23" s="2">
        <v>24</v>
      </c>
      <c r="C23" s="2">
        <v>25</v>
      </c>
      <c r="D23" s="2">
        <v>3</v>
      </c>
      <c r="E23" s="2">
        <v>6</v>
      </c>
      <c r="F23" s="2">
        <v>1</v>
      </c>
      <c r="H23" s="9" t="s">
        <v>92</v>
      </c>
      <c r="I23" s="9" t="s">
        <v>54</v>
      </c>
      <c r="J23" s="9" t="s">
        <v>33</v>
      </c>
      <c r="K23" s="9">
        <v>12.07</v>
      </c>
      <c r="L23" s="2">
        <v>3</v>
      </c>
      <c r="M23" s="2">
        <v>6</v>
      </c>
      <c r="N23" s="2">
        <v>0.01</v>
      </c>
      <c r="P23" s="4">
        <f>IF(D23*100+E23=L23*100+M23,1,0)</f>
        <v>1</v>
      </c>
      <c r="Q23" s="4">
        <f t="shared" si="37"/>
        <v>1</v>
      </c>
      <c r="R23" s="4">
        <f t="shared" si="38"/>
        <v>1</v>
      </c>
      <c r="S23" s="1">
        <f t="shared" si="2"/>
        <v>3</v>
      </c>
      <c r="T23" s="1">
        <f t="shared" si="3"/>
        <v>3</v>
      </c>
      <c r="U23" s="1">
        <f t="shared" si="4"/>
        <v>6</v>
      </c>
      <c r="V23" s="1">
        <f t="shared" si="5"/>
        <v>6</v>
      </c>
      <c r="W23" s="1">
        <f>100*(S23-D23)/D23</f>
        <v>0</v>
      </c>
      <c r="X23" s="1">
        <f>100*(T23-D23)/D23</f>
        <v>0</v>
      </c>
      <c r="Y23" s="1">
        <f>100*(U23-E23)/E23</f>
        <v>0</v>
      </c>
      <c r="Z23" s="1">
        <f>100*(V23-E23)/E23</f>
        <v>0</v>
      </c>
      <c r="AA23" s="1">
        <f t="shared" si="6"/>
        <v>3.0000000000000001E-3</v>
      </c>
      <c r="AC23" s="1">
        <f t="shared" si="7"/>
        <v>3</v>
      </c>
      <c r="AD23" s="1">
        <f t="shared" si="8"/>
        <v>6</v>
      </c>
      <c r="AE23" s="1">
        <f t="shared" si="39"/>
        <v>0.01</v>
      </c>
      <c r="AF23" s="4">
        <f t="shared" si="10"/>
        <v>3</v>
      </c>
      <c r="AG23" s="4">
        <f t="shared" si="11"/>
        <v>6</v>
      </c>
      <c r="AH23" s="4">
        <f t="shared" si="40"/>
        <v>0</v>
      </c>
      <c r="AI23" s="4">
        <f t="shared" si="13"/>
        <v>3</v>
      </c>
      <c r="AJ23" s="4">
        <f t="shared" si="14"/>
        <v>6</v>
      </c>
      <c r="AK23" s="4">
        <f t="shared" si="41"/>
        <v>0</v>
      </c>
      <c r="AL23" s="4">
        <f t="shared" si="16"/>
        <v>3</v>
      </c>
      <c r="AM23" s="4">
        <f t="shared" si="17"/>
        <v>6</v>
      </c>
      <c r="AN23" s="4">
        <f t="shared" si="42"/>
        <v>0.01</v>
      </c>
      <c r="AO23" s="4">
        <f t="shared" si="19"/>
        <v>3</v>
      </c>
      <c r="AP23" s="4">
        <f t="shared" si="20"/>
        <v>6</v>
      </c>
      <c r="AQ23" s="4">
        <f t="shared" si="43"/>
        <v>0</v>
      </c>
      <c r="AR23" s="4">
        <f t="shared" si="22"/>
        <v>3</v>
      </c>
      <c r="AS23" s="4">
        <f t="shared" si="23"/>
        <v>6</v>
      </c>
      <c r="AT23" s="4">
        <f t="shared" si="44"/>
        <v>0</v>
      </c>
      <c r="AU23" s="4">
        <f t="shared" si="25"/>
        <v>3</v>
      </c>
      <c r="AV23" s="4">
        <f t="shared" si="26"/>
        <v>6</v>
      </c>
      <c r="AW23" s="4">
        <f t="shared" si="45"/>
        <v>0.01</v>
      </c>
      <c r="AX23" s="4">
        <f t="shared" si="28"/>
        <v>3</v>
      </c>
      <c r="AY23" s="4">
        <f t="shared" si="29"/>
        <v>6</v>
      </c>
      <c r="AZ23" s="4">
        <f t="shared" si="46"/>
        <v>0</v>
      </c>
      <c r="BA23" s="4">
        <f t="shared" si="31"/>
        <v>3</v>
      </c>
      <c r="BB23" s="4">
        <f t="shared" si="32"/>
        <v>6</v>
      </c>
      <c r="BC23" s="4">
        <f t="shared" si="47"/>
        <v>0</v>
      </c>
      <c r="BD23" s="4">
        <f t="shared" si="34"/>
        <v>3</v>
      </c>
      <c r="BE23" s="4">
        <f t="shared" si="35"/>
        <v>6</v>
      </c>
      <c r="BF23" s="4">
        <f t="shared" si="48"/>
        <v>0</v>
      </c>
    </row>
    <row r="24" spans="1:58" x14ac:dyDescent="0.25">
      <c r="A24" s="2" t="s">
        <v>8</v>
      </c>
      <c r="B24" s="2">
        <v>24</v>
      </c>
      <c r="C24" s="2">
        <v>30</v>
      </c>
      <c r="D24" s="2">
        <v>3</v>
      </c>
      <c r="E24" s="2">
        <v>5</v>
      </c>
      <c r="F24" s="2">
        <v>1</v>
      </c>
      <c r="H24" s="9" t="s">
        <v>92</v>
      </c>
      <c r="I24" s="9" t="s">
        <v>55</v>
      </c>
      <c r="J24" s="9" t="s">
        <v>33</v>
      </c>
      <c r="K24" s="9">
        <v>11.25</v>
      </c>
      <c r="L24" s="2">
        <v>3</v>
      </c>
      <c r="M24" s="2">
        <v>5</v>
      </c>
      <c r="N24" s="2">
        <v>0</v>
      </c>
      <c r="P24" s="4">
        <f>IF(D24*100+E24=L24*100+M24,1,0)</f>
        <v>1</v>
      </c>
      <c r="Q24" s="4">
        <f t="shared" si="37"/>
        <v>1</v>
      </c>
      <c r="R24" s="4">
        <f t="shared" si="38"/>
        <v>1</v>
      </c>
      <c r="S24" s="1">
        <f t="shared" si="2"/>
        <v>3</v>
      </c>
      <c r="T24" s="1">
        <f t="shared" si="3"/>
        <v>3</v>
      </c>
      <c r="U24" s="1">
        <f t="shared" si="4"/>
        <v>5</v>
      </c>
      <c r="V24" s="1">
        <f t="shared" si="5"/>
        <v>5</v>
      </c>
      <c r="W24" s="1">
        <f>100*(S24-D24)/D24</f>
        <v>0</v>
      </c>
      <c r="X24" s="1">
        <f>100*(T24-D24)/D24</f>
        <v>0</v>
      </c>
      <c r="Y24" s="1">
        <f>100*(U24-E24)/E24</f>
        <v>0</v>
      </c>
      <c r="Z24" s="1">
        <f>100*(V24-E24)/E24</f>
        <v>0</v>
      </c>
      <c r="AA24" s="1">
        <f t="shared" si="6"/>
        <v>2E-3</v>
      </c>
      <c r="AC24" s="1">
        <f t="shared" si="7"/>
        <v>3</v>
      </c>
      <c r="AD24" s="1">
        <f t="shared" si="8"/>
        <v>5</v>
      </c>
      <c r="AE24" s="1">
        <f t="shared" si="39"/>
        <v>0</v>
      </c>
      <c r="AF24" s="4">
        <f t="shared" si="10"/>
        <v>3</v>
      </c>
      <c r="AG24" s="4">
        <f t="shared" si="11"/>
        <v>5</v>
      </c>
      <c r="AH24" s="4">
        <f t="shared" si="40"/>
        <v>0</v>
      </c>
      <c r="AI24" s="4">
        <f t="shared" si="13"/>
        <v>3</v>
      </c>
      <c r="AJ24" s="4">
        <f t="shared" si="14"/>
        <v>5</v>
      </c>
      <c r="AK24" s="4">
        <f t="shared" si="41"/>
        <v>0</v>
      </c>
      <c r="AL24" s="4">
        <f t="shared" si="16"/>
        <v>3</v>
      </c>
      <c r="AM24" s="4">
        <f t="shared" si="17"/>
        <v>5</v>
      </c>
      <c r="AN24" s="4">
        <f t="shared" si="42"/>
        <v>0</v>
      </c>
      <c r="AO24" s="4">
        <f t="shared" si="19"/>
        <v>3</v>
      </c>
      <c r="AP24" s="4">
        <f t="shared" si="20"/>
        <v>5</v>
      </c>
      <c r="AQ24" s="4">
        <f t="shared" si="43"/>
        <v>0</v>
      </c>
      <c r="AR24" s="4">
        <f t="shared" si="22"/>
        <v>3</v>
      </c>
      <c r="AS24" s="4">
        <f t="shared" si="23"/>
        <v>5</v>
      </c>
      <c r="AT24" s="4">
        <f t="shared" si="44"/>
        <v>0</v>
      </c>
      <c r="AU24" s="4">
        <f t="shared" si="25"/>
        <v>3</v>
      </c>
      <c r="AV24" s="4">
        <f t="shared" si="26"/>
        <v>5</v>
      </c>
      <c r="AW24" s="4">
        <f t="shared" si="45"/>
        <v>0.01</v>
      </c>
      <c r="AX24" s="4">
        <f t="shared" si="28"/>
        <v>3</v>
      </c>
      <c r="AY24" s="4">
        <f t="shared" si="29"/>
        <v>5</v>
      </c>
      <c r="AZ24" s="4">
        <f t="shared" si="46"/>
        <v>0</v>
      </c>
      <c r="BA24" s="4">
        <f t="shared" si="31"/>
        <v>3</v>
      </c>
      <c r="BB24" s="4">
        <f t="shared" si="32"/>
        <v>5</v>
      </c>
      <c r="BC24" s="4">
        <f t="shared" si="47"/>
        <v>0</v>
      </c>
      <c r="BD24" s="4">
        <f t="shared" si="34"/>
        <v>3</v>
      </c>
      <c r="BE24" s="4">
        <f t="shared" si="35"/>
        <v>5</v>
      </c>
      <c r="BF24" s="4">
        <f t="shared" si="48"/>
        <v>0.01</v>
      </c>
    </row>
    <row r="25" spans="1:58" x14ac:dyDescent="0.25">
      <c r="A25" s="2" t="s">
        <v>8</v>
      </c>
      <c r="B25" s="2">
        <v>24</v>
      </c>
      <c r="C25" s="2">
        <v>35</v>
      </c>
      <c r="D25" s="2">
        <v>2</v>
      </c>
      <c r="E25" s="2">
        <v>4</v>
      </c>
      <c r="F25" s="2">
        <v>1</v>
      </c>
      <c r="H25" s="9" t="s">
        <v>92</v>
      </c>
      <c r="I25" s="9" t="s">
        <v>56</v>
      </c>
      <c r="J25" s="9" t="s">
        <v>33</v>
      </c>
      <c r="K25" s="9">
        <v>8</v>
      </c>
      <c r="L25" s="2">
        <v>2</v>
      </c>
      <c r="M25" s="2">
        <v>4</v>
      </c>
      <c r="N25" s="2">
        <v>0</v>
      </c>
      <c r="P25" s="4">
        <f>IF(D25*100+E25=L25*100+M25,1,0)</f>
        <v>1</v>
      </c>
      <c r="Q25" s="4">
        <f t="shared" si="37"/>
        <v>1</v>
      </c>
      <c r="R25" s="4">
        <f t="shared" si="38"/>
        <v>1</v>
      </c>
      <c r="S25" s="1">
        <f t="shared" si="2"/>
        <v>2</v>
      </c>
      <c r="T25" s="1">
        <f t="shared" si="3"/>
        <v>2</v>
      </c>
      <c r="U25" s="1">
        <f t="shared" si="4"/>
        <v>4</v>
      </c>
      <c r="V25" s="1">
        <f t="shared" si="5"/>
        <v>4</v>
      </c>
      <c r="W25" s="1">
        <f>100*(S25-D25)/D25</f>
        <v>0</v>
      </c>
      <c r="X25" s="1">
        <f>100*(T25-D25)/D25</f>
        <v>0</v>
      </c>
      <c r="Y25" s="1">
        <f>100*(U25-E25)/E25</f>
        <v>0</v>
      </c>
      <c r="Z25" s="1">
        <f>100*(V25-E25)/E25</f>
        <v>0</v>
      </c>
      <c r="AA25" s="1">
        <f t="shared" si="6"/>
        <v>4.0000000000000001E-3</v>
      </c>
      <c r="AC25" s="1">
        <f t="shared" si="7"/>
        <v>2</v>
      </c>
      <c r="AD25" s="1">
        <f t="shared" si="8"/>
        <v>4</v>
      </c>
      <c r="AE25" s="1">
        <f t="shared" si="39"/>
        <v>0</v>
      </c>
      <c r="AF25" s="4">
        <f t="shared" si="10"/>
        <v>2</v>
      </c>
      <c r="AG25" s="4">
        <f t="shared" si="11"/>
        <v>4</v>
      </c>
      <c r="AH25" s="4">
        <f t="shared" si="40"/>
        <v>0</v>
      </c>
      <c r="AI25" s="4">
        <f t="shared" si="13"/>
        <v>2</v>
      </c>
      <c r="AJ25" s="4">
        <f t="shared" si="14"/>
        <v>4</v>
      </c>
      <c r="AK25" s="4">
        <f t="shared" si="41"/>
        <v>0</v>
      </c>
      <c r="AL25" s="4">
        <f t="shared" si="16"/>
        <v>2</v>
      </c>
      <c r="AM25" s="4">
        <f t="shared" si="17"/>
        <v>4</v>
      </c>
      <c r="AN25" s="4">
        <f t="shared" si="42"/>
        <v>0.01</v>
      </c>
      <c r="AO25" s="4">
        <f t="shared" si="19"/>
        <v>2</v>
      </c>
      <c r="AP25" s="4">
        <f t="shared" si="20"/>
        <v>4</v>
      </c>
      <c r="AQ25" s="4">
        <f t="shared" si="43"/>
        <v>0.01</v>
      </c>
      <c r="AR25" s="4">
        <f t="shared" si="22"/>
        <v>2</v>
      </c>
      <c r="AS25" s="4">
        <f t="shared" si="23"/>
        <v>4</v>
      </c>
      <c r="AT25" s="4">
        <f t="shared" si="44"/>
        <v>0.01</v>
      </c>
      <c r="AU25" s="4">
        <f t="shared" si="25"/>
        <v>2</v>
      </c>
      <c r="AV25" s="4">
        <f t="shared" si="26"/>
        <v>4</v>
      </c>
      <c r="AW25" s="4">
        <f t="shared" si="45"/>
        <v>0</v>
      </c>
      <c r="AX25" s="4">
        <f t="shared" si="28"/>
        <v>2</v>
      </c>
      <c r="AY25" s="4">
        <f t="shared" si="29"/>
        <v>4</v>
      </c>
      <c r="AZ25" s="4">
        <f t="shared" si="46"/>
        <v>0</v>
      </c>
      <c r="BA25" s="4">
        <f t="shared" si="31"/>
        <v>2</v>
      </c>
      <c r="BB25" s="4">
        <f t="shared" si="32"/>
        <v>4</v>
      </c>
      <c r="BC25" s="4">
        <f t="shared" si="47"/>
        <v>0</v>
      </c>
      <c r="BD25" s="4">
        <f t="shared" si="34"/>
        <v>2</v>
      </c>
      <c r="BE25" s="4">
        <f t="shared" si="35"/>
        <v>4</v>
      </c>
      <c r="BF25" s="4">
        <f t="shared" si="48"/>
        <v>0.01</v>
      </c>
    </row>
    <row r="26" spans="1:58" x14ac:dyDescent="0.25">
      <c r="A26" s="2" t="s">
        <v>8</v>
      </c>
      <c r="B26" s="2">
        <v>24</v>
      </c>
      <c r="C26" s="2">
        <v>40</v>
      </c>
      <c r="D26" s="2">
        <v>2</v>
      </c>
      <c r="E26" s="2">
        <v>4</v>
      </c>
      <c r="F26" s="2">
        <v>1</v>
      </c>
      <c r="H26" s="9" t="s">
        <v>92</v>
      </c>
      <c r="I26" s="9" t="s">
        <v>57</v>
      </c>
      <c r="J26" s="9" t="s">
        <v>33</v>
      </c>
      <c r="K26" s="9">
        <v>8.1300000000000008</v>
      </c>
      <c r="L26" s="2">
        <v>2</v>
      </c>
      <c r="M26" s="2">
        <v>4</v>
      </c>
      <c r="N26" s="2">
        <v>0</v>
      </c>
      <c r="P26" s="4">
        <f>IF(D26*100+E26=L26*100+M26,1,0)</f>
        <v>1</v>
      </c>
      <c r="Q26" s="4">
        <f t="shared" si="37"/>
        <v>1</v>
      </c>
      <c r="R26" s="4">
        <f t="shared" si="38"/>
        <v>1</v>
      </c>
      <c r="S26" s="1">
        <f t="shared" si="2"/>
        <v>2</v>
      </c>
      <c r="T26" s="1">
        <f t="shared" si="3"/>
        <v>2</v>
      </c>
      <c r="U26" s="1">
        <f t="shared" si="4"/>
        <v>4</v>
      </c>
      <c r="V26" s="1">
        <f t="shared" si="5"/>
        <v>4</v>
      </c>
      <c r="W26" s="1">
        <f>100*(S26-D26)/D26</f>
        <v>0</v>
      </c>
      <c r="X26" s="1">
        <f>100*(T26-D26)/D26</f>
        <v>0</v>
      </c>
      <c r="Y26" s="1">
        <f>100*(U26-E26)/E26</f>
        <v>0</v>
      </c>
      <c r="Z26" s="1">
        <f>100*(V26-E26)/E26</f>
        <v>0</v>
      </c>
      <c r="AA26" s="1">
        <f t="shared" si="6"/>
        <v>6.0000000000000001E-3</v>
      </c>
      <c r="AC26" s="1">
        <f t="shared" si="7"/>
        <v>2</v>
      </c>
      <c r="AD26" s="1">
        <f t="shared" si="8"/>
        <v>4</v>
      </c>
      <c r="AE26" s="1">
        <f t="shared" si="39"/>
        <v>0</v>
      </c>
      <c r="AF26" s="4">
        <f t="shared" si="10"/>
        <v>2</v>
      </c>
      <c r="AG26" s="4">
        <f t="shared" si="11"/>
        <v>4</v>
      </c>
      <c r="AH26" s="4">
        <f t="shared" si="40"/>
        <v>0</v>
      </c>
      <c r="AI26" s="4">
        <f t="shared" si="13"/>
        <v>2</v>
      </c>
      <c r="AJ26" s="4">
        <f t="shared" si="14"/>
        <v>4</v>
      </c>
      <c r="AK26" s="4">
        <f t="shared" si="41"/>
        <v>0.01</v>
      </c>
      <c r="AL26" s="4">
        <f t="shared" si="16"/>
        <v>2</v>
      </c>
      <c r="AM26" s="4">
        <f t="shared" si="17"/>
        <v>4</v>
      </c>
      <c r="AN26" s="4">
        <f t="shared" si="42"/>
        <v>0.01</v>
      </c>
      <c r="AO26" s="4">
        <f t="shared" si="19"/>
        <v>2</v>
      </c>
      <c r="AP26" s="4">
        <f t="shared" si="20"/>
        <v>4</v>
      </c>
      <c r="AQ26" s="4">
        <f t="shared" si="43"/>
        <v>0.01</v>
      </c>
      <c r="AR26" s="4">
        <f t="shared" si="22"/>
        <v>2</v>
      </c>
      <c r="AS26" s="4">
        <f t="shared" si="23"/>
        <v>4</v>
      </c>
      <c r="AT26" s="4">
        <f t="shared" si="44"/>
        <v>0.01</v>
      </c>
      <c r="AU26" s="4">
        <f t="shared" si="25"/>
        <v>2</v>
      </c>
      <c r="AV26" s="4">
        <f t="shared" si="26"/>
        <v>4</v>
      </c>
      <c r="AW26" s="4">
        <f t="shared" si="45"/>
        <v>0</v>
      </c>
      <c r="AX26" s="4">
        <f t="shared" si="28"/>
        <v>2</v>
      </c>
      <c r="AY26" s="4">
        <f t="shared" si="29"/>
        <v>4</v>
      </c>
      <c r="AZ26" s="4">
        <f t="shared" si="46"/>
        <v>0.01</v>
      </c>
      <c r="BA26" s="4">
        <f t="shared" si="31"/>
        <v>2</v>
      </c>
      <c r="BB26" s="4">
        <f t="shared" si="32"/>
        <v>4</v>
      </c>
      <c r="BC26" s="4">
        <f t="shared" si="47"/>
        <v>0</v>
      </c>
      <c r="BD26" s="4">
        <f t="shared" si="34"/>
        <v>2</v>
      </c>
      <c r="BE26" s="4">
        <f t="shared" si="35"/>
        <v>4</v>
      </c>
      <c r="BF26" s="4">
        <f t="shared" si="48"/>
        <v>0.01</v>
      </c>
    </row>
    <row r="27" spans="1:58" x14ac:dyDescent="0.25">
      <c r="A27" s="2" t="s">
        <v>9</v>
      </c>
      <c r="B27" s="2">
        <v>65</v>
      </c>
      <c r="C27" s="2">
        <v>326</v>
      </c>
      <c r="D27" s="2">
        <v>8</v>
      </c>
      <c r="E27" s="2">
        <v>16</v>
      </c>
      <c r="F27" s="2">
        <v>1</v>
      </c>
      <c r="H27" s="9" t="s">
        <v>92</v>
      </c>
      <c r="I27" s="9" t="s">
        <v>58</v>
      </c>
      <c r="J27" s="9" t="s">
        <v>33</v>
      </c>
      <c r="K27" s="9">
        <v>35.229999999999997</v>
      </c>
      <c r="L27" s="2">
        <v>9</v>
      </c>
      <c r="M27" s="2">
        <v>17</v>
      </c>
      <c r="N27" s="2">
        <v>300.01</v>
      </c>
      <c r="P27" s="4">
        <f>IF(D27*100+E27=L27*100+M27,1,0)</f>
        <v>0</v>
      </c>
      <c r="Q27" s="4">
        <f t="shared" si="37"/>
        <v>1</v>
      </c>
      <c r="R27" s="4">
        <f t="shared" si="38"/>
        <v>0.3</v>
      </c>
      <c r="S27" s="1">
        <f t="shared" si="2"/>
        <v>8</v>
      </c>
      <c r="T27" s="1">
        <f t="shared" si="3"/>
        <v>8.6999999999999993</v>
      </c>
      <c r="U27" s="1">
        <f t="shared" si="4"/>
        <v>16</v>
      </c>
      <c r="V27" s="1">
        <f t="shared" si="5"/>
        <v>16.7</v>
      </c>
      <c r="W27" s="1">
        <f>100*(S27-D27)/D27</f>
        <v>0</v>
      </c>
      <c r="X27" s="1">
        <f>100*(T27-D27)/D27</f>
        <v>8.7499999999999911</v>
      </c>
      <c r="Y27" s="1">
        <f>100*(U27-E27)/E27</f>
        <v>0</v>
      </c>
      <c r="Z27" s="1">
        <f>100*(V27-E27)/E27</f>
        <v>4.3749999999999956</v>
      </c>
      <c r="AA27" s="1">
        <f t="shared" si="6"/>
        <v>210.94799999999995</v>
      </c>
      <c r="AC27" s="1">
        <f t="shared" si="7"/>
        <v>9</v>
      </c>
      <c r="AD27" s="1">
        <f t="shared" si="8"/>
        <v>17</v>
      </c>
      <c r="AE27" s="1">
        <f t="shared" si="39"/>
        <v>300.01</v>
      </c>
      <c r="AF27" s="4">
        <f t="shared" si="10"/>
        <v>9</v>
      </c>
      <c r="AG27" s="4">
        <f t="shared" si="11"/>
        <v>17</v>
      </c>
      <c r="AH27" s="4">
        <f t="shared" si="40"/>
        <v>300.01</v>
      </c>
      <c r="AI27" s="4">
        <f t="shared" si="13"/>
        <v>8</v>
      </c>
      <c r="AJ27" s="4">
        <f t="shared" si="14"/>
        <v>16</v>
      </c>
      <c r="AK27" s="4">
        <f t="shared" si="41"/>
        <v>0.08</v>
      </c>
      <c r="AL27" s="4">
        <f t="shared" si="16"/>
        <v>9</v>
      </c>
      <c r="AM27" s="4">
        <f t="shared" si="17"/>
        <v>17</v>
      </c>
      <c r="AN27" s="4">
        <f t="shared" si="42"/>
        <v>300.01</v>
      </c>
      <c r="AO27" s="4">
        <f t="shared" si="19"/>
        <v>9</v>
      </c>
      <c r="AP27" s="4">
        <f t="shared" si="20"/>
        <v>17</v>
      </c>
      <c r="AQ27" s="4">
        <f t="shared" si="43"/>
        <v>300.01</v>
      </c>
      <c r="AR27" s="4">
        <f t="shared" si="22"/>
        <v>8</v>
      </c>
      <c r="AS27" s="4">
        <f t="shared" si="23"/>
        <v>16</v>
      </c>
      <c r="AT27" s="4">
        <f t="shared" si="44"/>
        <v>5.96</v>
      </c>
      <c r="AU27" s="4">
        <f t="shared" si="25"/>
        <v>9</v>
      </c>
      <c r="AV27" s="4">
        <f t="shared" si="26"/>
        <v>17</v>
      </c>
      <c r="AW27" s="4">
        <f t="shared" si="45"/>
        <v>300.01</v>
      </c>
      <c r="AX27" s="4">
        <f t="shared" si="28"/>
        <v>9</v>
      </c>
      <c r="AY27" s="4">
        <f t="shared" si="29"/>
        <v>17</v>
      </c>
      <c r="AZ27" s="4">
        <f t="shared" si="46"/>
        <v>300.01</v>
      </c>
      <c r="BA27" s="4">
        <f t="shared" si="31"/>
        <v>8</v>
      </c>
      <c r="BB27" s="4">
        <f t="shared" si="32"/>
        <v>16</v>
      </c>
      <c r="BC27" s="4">
        <f t="shared" si="47"/>
        <v>3.37</v>
      </c>
      <c r="BD27" s="4">
        <f t="shared" si="34"/>
        <v>9</v>
      </c>
      <c r="BE27" s="4">
        <f t="shared" si="35"/>
        <v>17</v>
      </c>
      <c r="BF27" s="4">
        <f t="shared" si="48"/>
        <v>300.01</v>
      </c>
    </row>
    <row r="28" spans="1:58" x14ac:dyDescent="0.25">
      <c r="A28" s="2" t="s">
        <v>9</v>
      </c>
      <c r="B28" s="2">
        <v>65</v>
      </c>
      <c r="C28" s="2">
        <v>381</v>
      </c>
      <c r="D28" s="2">
        <v>7</v>
      </c>
      <c r="E28" s="2">
        <v>14</v>
      </c>
      <c r="F28" s="2">
        <v>1</v>
      </c>
      <c r="H28" s="9" t="s">
        <v>92</v>
      </c>
      <c r="I28" s="9" t="s">
        <v>59</v>
      </c>
      <c r="J28" s="9" t="s">
        <v>33</v>
      </c>
      <c r="K28" s="9">
        <v>28.16</v>
      </c>
      <c r="L28" s="2">
        <v>7</v>
      </c>
      <c r="M28" s="2">
        <v>14</v>
      </c>
      <c r="N28" s="2">
        <v>7.0000000000000007E-2</v>
      </c>
      <c r="P28" s="4">
        <f>IF(D28*100+E28=L28*100+M28,1,0)</f>
        <v>1</v>
      </c>
      <c r="Q28" s="4">
        <f t="shared" si="37"/>
        <v>1</v>
      </c>
      <c r="R28" s="4">
        <f t="shared" si="38"/>
        <v>1</v>
      </c>
      <c r="S28" s="1">
        <f t="shared" si="2"/>
        <v>7</v>
      </c>
      <c r="T28" s="1">
        <f t="shared" si="3"/>
        <v>7</v>
      </c>
      <c r="U28" s="1">
        <f t="shared" si="4"/>
        <v>14</v>
      </c>
      <c r="V28" s="1">
        <f t="shared" si="5"/>
        <v>14</v>
      </c>
      <c r="W28" s="1">
        <f>100*(S28-D28)/D28</f>
        <v>0</v>
      </c>
      <c r="X28" s="1">
        <f>100*(T28-D28)/D28</f>
        <v>0</v>
      </c>
      <c r="Y28" s="1">
        <f>100*(U28-E28)/E28</f>
        <v>0</v>
      </c>
      <c r="Z28" s="1">
        <f>100*(V28-E28)/E28</f>
        <v>0</v>
      </c>
      <c r="AA28" s="1">
        <f t="shared" si="6"/>
        <v>0.13800000000000004</v>
      </c>
      <c r="AC28" s="1">
        <f t="shared" si="7"/>
        <v>7</v>
      </c>
      <c r="AD28" s="1">
        <f t="shared" si="8"/>
        <v>14</v>
      </c>
      <c r="AE28" s="1">
        <f t="shared" ref="AE28:AE60" si="49">N28</f>
        <v>7.0000000000000007E-2</v>
      </c>
      <c r="AF28" s="4">
        <f t="shared" si="10"/>
        <v>7</v>
      </c>
      <c r="AG28" s="4">
        <f t="shared" si="11"/>
        <v>14</v>
      </c>
      <c r="AH28" s="4">
        <f t="shared" si="40"/>
        <v>0.28000000000000003</v>
      </c>
      <c r="AI28" s="4">
        <f t="shared" si="13"/>
        <v>7</v>
      </c>
      <c r="AJ28" s="4">
        <f t="shared" si="14"/>
        <v>14</v>
      </c>
      <c r="AK28" s="4">
        <f t="shared" si="41"/>
        <v>0.12</v>
      </c>
      <c r="AL28" s="4">
        <f t="shared" si="16"/>
        <v>7</v>
      </c>
      <c r="AM28" s="4">
        <f t="shared" si="17"/>
        <v>14</v>
      </c>
      <c r="AN28" s="4">
        <f t="shared" si="42"/>
        <v>0.37</v>
      </c>
      <c r="AO28" s="4">
        <f t="shared" si="19"/>
        <v>7</v>
      </c>
      <c r="AP28" s="4">
        <f t="shared" si="20"/>
        <v>14</v>
      </c>
      <c r="AQ28" s="4">
        <f t="shared" si="43"/>
        <v>0.06</v>
      </c>
      <c r="AR28" s="4">
        <f t="shared" si="22"/>
        <v>7</v>
      </c>
      <c r="AS28" s="4">
        <f t="shared" si="23"/>
        <v>14</v>
      </c>
      <c r="AT28" s="4">
        <f t="shared" si="44"/>
        <v>0.11</v>
      </c>
      <c r="AU28" s="4">
        <f t="shared" si="25"/>
        <v>7</v>
      </c>
      <c r="AV28" s="4">
        <f t="shared" si="26"/>
        <v>14</v>
      </c>
      <c r="AW28" s="4">
        <f t="shared" si="45"/>
        <v>0.21</v>
      </c>
      <c r="AX28" s="4">
        <f t="shared" si="28"/>
        <v>7</v>
      </c>
      <c r="AY28" s="4">
        <f t="shared" si="29"/>
        <v>14</v>
      </c>
      <c r="AZ28" s="4">
        <f t="shared" si="46"/>
        <v>0.08</v>
      </c>
      <c r="BA28" s="4">
        <f t="shared" si="31"/>
        <v>7</v>
      </c>
      <c r="BB28" s="4">
        <f t="shared" si="32"/>
        <v>14</v>
      </c>
      <c r="BC28" s="4">
        <f t="shared" si="47"/>
        <v>0.04</v>
      </c>
      <c r="BD28" s="4">
        <f t="shared" si="34"/>
        <v>7</v>
      </c>
      <c r="BE28" s="4">
        <f t="shared" si="35"/>
        <v>14</v>
      </c>
      <c r="BF28" s="4">
        <f t="shared" si="48"/>
        <v>0.04</v>
      </c>
    </row>
    <row r="29" spans="1:58" x14ac:dyDescent="0.25">
      <c r="A29" s="2" t="s">
        <v>9</v>
      </c>
      <c r="B29" s="2">
        <v>65</v>
      </c>
      <c r="C29" s="2">
        <v>435</v>
      </c>
      <c r="D29" s="2">
        <v>6</v>
      </c>
      <c r="E29" s="2">
        <v>12</v>
      </c>
      <c r="F29" s="2">
        <v>1</v>
      </c>
      <c r="H29" s="9" t="s">
        <v>92</v>
      </c>
      <c r="I29" s="9" t="s">
        <v>60</v>
      </c>
      <c r="J29" s="9" t="s">
        <v>33</v>
      </c>
      <c r="K29" s="9">
        <v>24.08</v>
      </c>
      <c r="L29" s="2">
        <v>6</v>
      </c>
      <c r="M29" s="2">
        <v>12</v>
      </c>
      <c r="N29" s="2">
        <v>1.53</v>
      </c>
      <c r="P29" s="4">
        <f>IF(D29*100+E29=L29*100+M29,1,0)</f>
        <v>1</v>
      </c>
      <c r="Q29" s="4">
        <f t="shared" si="37"/>
        <v>1</v>
      </c>
      <c r="R29" s="4">
        <f t="shared" si="38"/>
        <v>0.9</v>
      </c>
      <c r="S29" s="1">
        <f t="shared" si="2"/>
        <v>6</v>
      </c>
      <c r="T29" s="1">
        <f t="shared" si="3"/>
        <v>6.1</v>
      </c>
      <c r="U29" s="1">
        <f t="shared" si="4"/>
        <v>12</v>
      </c>
      <c r="V29" s="1">
        <f t="shared" si="5"/>
        <v>12.1</v>
      </c>
      <c r="W29" s="1">
        <f>100*(S29-D29)/D29</f>
        <v>0</v>
      </c>
      <c r="X29" s="1">
        <f>100*(T29-D29)/D29</f>
        <v>1.6666666666666607</v>
      </c>
      <c r="Y29" s="1">
        <f>100*(U29-E29)/E29</f>
        <v>0</v>
      </c>
      <c r="Z29" s="1">
        <f>100*(V29-E29)/E29</f>
        <v>0.83333333333333037</v>
      </c>
      <c r="AA29" s="1">
        <f t="shared" si="6"/>
        <v>30.432000000000006</v>
      </c>
      <c r="AC29" s="1">
        <f t="shared" si="7"/>
        <v>6</v>
      </c>
      <c r="AD29" s="1">
        <f t="shared" si="8"/>
        <v>12</v>
      </c>
      <c r="AE29" s="1">
        <f t="shared" si="49"/>
        <v>1.53</v>
      </c>
      <c r="AF29" s="4">
        <f t="shared" si="10"/>
        <v>6</v>
      </c>
      <c r="AG29" s="4">
        <f t="shared" si="11"/>
        <v>12</v>
      </c>
      <c r="AH29" s="4">
        <f t="shared" si="40"/>
        <v>0.16</v>
      </c>
      <c r="AI29" s="4">
        <f t="shared" si="13"/>
        <v>7</v>
      </c>
      <c r="AJ29" s="4">
        <f t="shared" si="14"/>
        <v>13</v>
      </c>
      <c r="AK29" s="4">
        <f t="shared" si="41"/>
        <v>300.01</v>
      </c>
      <c r="AL29" s="4">
        <f t="shared" si="16"/>
        <v>6</v>
      </c>
      <c r="AM29" s="4">
        <f t="shared" si="17"/>
        <v>12</v>
      </c>
      <c r="AN29" s="4">
        <f t="shared" si="42"/>
        <v>0.22</v>
      </c>
      <c r="AO29" s="4">
        <f t="shared" si="19"/>
        <v>6</v>
      </c>
      <c r="AP29" s="4">
        <f t="shared" si="20"/>
        <v>12</v>
      </c>
      <c r="AQ29" s="4">
        <f t="shared" si="43"/>
        <v>7.0000000000000007E-2</v>
      </c>
      <c r="AR29" s="4">
        <f t="shared" si="22"/>
        <v>6</v>
      </c>
      <c r="AS29" s="4">
        <f t="shared" si="23"/>
        <v>12</v>
      </c>
      <c r="AT29" s="4">
        <f t="shared" si="44"/>
        <v>1.23</v>
      </c>
      <c r="AU29" s="4">
        <f t="shared" si="25"/>
        <v>6</v>
      </c>
      <c r="AV29" s="4">
        <f t="shared" si="26"/>
        <v>12</v>
      </c>
      <c r="AW29" s="4">
        <f t="shared" si="45"/>
        <v>0.37</v>
      </c>
      <c r="AX29" s="4">
        <f t="shared" si="28"/>
        <v>6</v>
      </c>
      <c r="AY29" s="4">
        <f t="shared" si="29"/>
        <v>12</v>
      </c>
      <c r="AZ29" s="4">
        <f t="shared" si="46"/>
        <v>0.1</v>
      </c>
      <c r="BA29" s="4">
        <f t="shared" si="31"/>
        <v>6</v>
      </c>
      <c r="BB29" s="4">
        <f t="shared" si="32"/>
        <v>12</v>
      </c>
      <c r="BC29" s="4">
        <f t="shared" si="47"/>
        <v>0.35</v>
      </c>
      <c r="BD29" s="4">
        <f t="shared" si="34"/>
        <v>6</v>
      </c>
      <c r="BE29" s="4">
        <f t="shared" si="35"/>
        <v>12</v>
      </c>
      <c r="BF29" s="4">
        <f t="shared" si="48"/>
        <v>0.28000000000000003</v>
      </c>
    </row>
    <row r="30" spans="1:58" x14ac:dyDescent="0.25">
      <c r="A30" s="2" t="s">
        <v>9</v>
      </c>
      <c r="B30" s="2">
        <v>65</v>
      </c>
      <c r="C30" s="2">
        <v>490</v>
      </c>
      <c r="D30" s="2">
        <v>6</v>
      </c>
      <c r="E30" s="2">
        <v>11</v>
      </c>
      <c r="F30" s="2">
        <v>1</v>
      </c>
      <c r="H30" s="9" t="s">
        <v>92</v>
      </c>
      <c r="I30" s="9" t="s">
        <v>61</v>
      </c>
      <c r="J30" s="9" t="s">
        <v>33</v>
      </c>
      <c r="K30" s="9">
        <v>23.25</v>
      </c>
      <c r="L30" s="2">
        <v>6</v>
      </c>
      <c r="M30" s="2">
        <v>11</v>
      </c>
      <c r="N30" s="2">
        <v>0.01</v>
      </c>
      <c r="P30" s="4">
        <f>IF(D30*100+E30=L30*100+M30,1,0)</f>
        <v>1</v>
      </c>
      <c r="Q30" s="4">
        <f t="shared" si="37"/>
        <v>1</v>
      </c>
      <c r="R30" s="4">
        <f t="shared" si="38"/>
        <v>1</v>
      </c>
      <c r="S30" s="1">
        <f t="shared" si="2"/>
        <v>6</v>
      </c>
      <c r="T30" s="1">
        <f t="shared" si="3"/>
        <v>6</v>
      </c>
      <c r="U30" s="1">
        <f t="shared" si="4"/>
        <v>11</v>
      </c>
      <c r="V30" s="1">
        <f t="shared" si="5"/>
        <v>11</v>
      </c>
      <c r="W30" s="1">
        <f>100*(S30-D30)/D30</f>
        <v>0</v>
      </c>
      <c r="X30" s="1">
        <f>100*(T30-D30)/D30</f>
        <v>0</v>
      </c>
      <c r="Y30" s="1">
        <f>100*(U30-E30)/E30</f>
        <v>0</v>
      </c>
      <c r="Z30" s="1">
        <f>100*(V30-E30)/E30</f>
        <v>0</v>
      </c>
      <c r="AA30" s="1">
        <f t="shared" si="6"/>
        <v>1.7999999999999995E-2</v>
      </c>
      <c r="AC30" s="1">
        <f t="shared" si="7"/>
        <v>6</v>
      </c>
      <c r="AD30" s="1">
        <f t="shared" si="8"/>
        <v>11</v>
      </c>
      <c r="AE30" s="1">
        <f t="shared" si="49"/>
        <v>0.01</v>
      </c>
      <c r="AF30" s="4">
        <f t="shared" si="10"/>
        <v>6</v>
      </c>
      <c r="AG30" s="4">
        <f t="shared" si="11"/>
        <v>11</v>
      </c>
      <c r="AH30" s="4">
        <f t="shared" si="40"/>
        <v>0.04</v>
      </c>
      <c r="AI30" s="4">
        <f t="shared" si="13"/>
        <v>6</v>
      </c>
      <c r="AJ30" s="4">
        <f t="shared" si="14"/>
        <v>11</v>
      </c>
      <c r="AK30" s="4">
        <f t="shared" si="41"/>
        <v>0.01</v>
      </c>
      <c r="AL30" s="4">
        <f t="shared" si="16"/>
        <v>6</v>
      </c>
      <c r="AM30" s="4">
        <f t="shared" si="17"/>
        <v>11</v>
      </c>
      <c r="AN30" s="4">
        <f t="shared" si="42"/>
        <v>0.03</v>
      </c>
      <c r="AO30" s="4">
        <f t="shared" si="19"/>
        <v>6</v>
      </c>
      <c r="AP30" s="4">
        <f t="shared" si="20"/>
        <v>11</v>
      </c>
      <c r="AQ30" s="4">
        <f t="shared" si="43"/>
        <v>0.01</v>
      </c>
      <c r="AR30" s="4">
        <f t="shared" si="22"/>
        <v>6</v>
      </c>
      <c r="AS30" s="4">
        <f t="shared" si="23"/>
        <v>11</v>
      </c>
      <c r="AT30" s="4">
        <f t="shared" si="44"/>
        <v>0.01</v>
      </c>
      <c r="AU30" s="4">
        <f t="shared" si="25"/>
        <v>6</v>
      </c>
      <c r="AV30" s="4">
        <f t="shared" si="26"/>
        <v>11</v>
      </c>
      <c r="AW30" s="4">
        <f t="shared" si="45"/>
        <v>0.01</v>
      </c>
      <c r="AX30" s="4">
        <f t="shared" si="28"/>
        <v>6</v>
      </c>
      <c r="AY30" s="4">
        <f t="shared" si="29"/>
        <v>11</v>
      </c>
      <c r="AZ30" s="4">
        <f t="shared" si="46"/>
        <v>0.03</v>
      </c>
      <c r="BA30" s="4">
        <f t="shared" si="31"/>
        <v>6</v>
      </c>
      <c r="BB30" s="4">
        <f t="shared" si="32"/>
        <v>11</v>
      </c>
      <c r="BC30" s="4">
        <f t="shared" si="47"/>
        <v>0.02</v>
      </c>
      <c r="BD30" s="4">
        <f t="shared" si="34"/>
        <v>6</v>
      </c>
      <c r="BE30" s="4">
        <f t="shared" si="35"/>
        <v>11</v>
      </c>
      <c r="BF30" s="4">
        <f t="shared" si="48"/>
        <v>0.01</v>
      </c>
    </row>
    <row r="31" spans="1:58" x14ac:dyDescent="0.25">
      <c r="A31" s="2" t="s">
        <v>9</v>
      </c>
      <c r="B31" s="2">
        <v>65</v>
      </c>
      <c r="C31" s="2">
        <v>512</v>
      </c>
      <c r="D31" s="2">
        <v>5</v>
      </c>
      <c r="E31" s="2">
        <v>10</v>
      </c>
      <c r="F31" s="2">
        <v>1</v>
      </c>
      <c r="H31" s="9" t="s">
        <v>92</v>
      </c>
      <c r="I31" s="9" t="s">
        <v>62</v>
      </c>
      <c r="J31" s="9" t="s">
        <v>33</v>
      </c>
      <c r="K31" s="9">
        <v>20.010000000000002</v>
      </c>
      <c r="L31" s="2">
        <v>5</v>
      </c>
      <c r="M31" s="2">
        <v>10</v>
      </c>
      <c r="N31" s="2">
        <v>11.89</v>
      </c>
      <c r="P31" s="4">
        <f>IF(D31*100+E31=L31*100+M31,1,0)</f>
        <v>1</v>
      </c>
      <c r="Q31" s="4">
        <f t="shared" si="37"/>
        <v>1</v>
      </c>
      <c r="R31" s="4">
        <f t="shared" si="38"/>
        <v>0.2</v>
      </c>
      <c r="S31" s="1">
        <f t="shared" si="2"/>
        <v>5</v>
      </c>
      <c r="T31" s="1">
        <f t="shared" si="3"/>
        <v>5.8</v>
      </c>
      <c r="U31" s="1">
        <f t="shared" si="4"/>
        <v>10</v>
      </c>
      <c r="V31" s="1">
        <f t="shared" si="5"/>
        <v>10.8</v>
      </c>
      <c r="W31" s="1">
        <f>100*(S31-D31)/D31</f>
        <v>0</v>
      </c>
      <c r="X31" s="1">
        <f>100*(T31-D31)/D31</f>
        <v>15.999999999999996</v>
      </c>
      <c r="Y31" s="1">
        <f>100*(U31-E31)/E31</f>
        <v>0</v>
      </c>
      <c r="Z31" s="1">
        <f>100*(V31-E31)/E31</f>
        <v>8.0000000000000071</v>
      </c>
      <c r="AA31" s="1">
        <f t="shared" si="6"/>
        <v>250.67300000000006</v>
      </c>
      <c r="AC31" s="1">
        <f t="shared" si="7"/>
        <v>5</v>
      </c>
      <c r="AD31" s="1">
        <f t="shared" si="8"/>
        <v>10</v>
      </c>
      <c r="AE31" s="1">
        <f t="shared" si="49"/>
        <v>11.89</v>
      </c>
      <c r="AF31" s="4">
        <f t="shared" si="10"/>
        <v>6</v>
      </c>
      <c r="AG31" s="4">
        <f t="shared" si="11"/>
        <v>11</v>
      </c>
      <c r="AH31" s="4">
        <f t="shared" si="40"/>
        <v>300</v>
      </c>
      <c r="AI31" s="4">
        <f t="shared" si="13"/>
        <v>6</v>
      </c>
      <c r="AJ31" s="4">
        <f t="shared" si="14"/>
        <v>11</v>
      </c>
      <c r="AK31" s="4">
        <f t="shared" si="41"/>
        <v>300.01</v>
      </c>
      <c r="AL31" s="4">
        <f t="shared" si="16"/>
        <v>6</v>
      </c>
      <c r="AM31" s="4">
        <f t="shared" si="17"/>
        <v>11</v>
      </c>
      <c r="AN31" s="4">
        <f t="shared" si="42"/>
        <v>300</v>
      </c>
      <c r="AO31" s="4">
        <f t="shared" si="19"/>
        <v>5</v>
      </c>
      <c r="AP31" s="4">
        <f t="shared" si="20"/>
        <v>10</v>
      </c>
      <c r="AQ31" s="4">
        <f t="shared" si="43"/>
        <v>94.81</v>
      </c>
      <c r="AR31" s="4">
        <f t="shared" si="22"/>
        <v>6</v>
      </c>
      <c r="AS31" s="4">
        <f t="shared" si="23"/>
        <v>11</v>
      </c>
      <c r="AT31" s="4">
        <f t="shared" si="44"/>
        <v>300</v>
      </c>
      <c r="AU31" s="4">
        <f t="shared" si="25"/>
        <v>6</v>
      </c>
      <c r="AV31" s="4">
        <f t="shared" si="26"/>
        <v>11</v>
      </c>
      <c r="AW31" s="4">
        <f t="shared" si="45"/>
        <v>300.01</v>
      </c>
      <c r="AX31" s="4">
        <f t="shared" si="28"/>
        <v>6</v>
      </c>
      <c r="AY31" s="4">
        <f t="shared" si="29"/>
        <v>11</v>
      </c>
      <c r="AZ31" s="4">
        <f t="shared" si="46"/>
        <v>300</v>
      </c>
      <c r="BA31" s="4">
        <f t="shared" si="31"/>
        <v>6</v>
      </c>
      <c r="BB31" s="4">
        <f t="shared" si="32"/>
        <v>11</v>
      </c>
      <c r="BC31" s="4">
        <f t="shared" si="47"/>
        <v>300</v>
      </c>
      <c r="BD31" s="4">
        <f t="shared" si="34"/>
        <v>6</v>
      </c>
      <c r="BE31" s="4">
        <f t="shared" si="35"/>
        <v>11</v>
      </c>
      <c r="BF31" s="4">
        <f t="shared" si="48"/>
        <v>300.01</v>
      </c>
    </row>
    <row r="32" spans="1:58" x14ac:dyDescent="0.25">
      <c r="A32" s="2" t="s">
        <v>9</v>
      </c>
      <c r="B32" s="2">
        <v>65</v>
      </c>
      <c r="C32" s="2">
        <v>544</v>
      </c>
      <c r="D32" s="2">
        <v>5</v>
      </c>
      <c r="E32" s="2">
        <v>10</v>
      </c>
      <c r="F32" s="2">
        <v>1</v>
      </c>
      <c r="H32" s="9" t="s">
        <v>92</v>
      </c>
      <c r="I32" s="9" t="s">
        <v>63</v>
      </c>
      <c r="J32" s="9" t="s">
        <v>33</v>
      </c>
      <c r="K32" s="9">
        <v>20.16</v>
      </c>
      <c r="L32" s="2">
        <v>5</v>
      </c>
      <c r="M32" s="2">
        <v>10</v>
      </c>
      <c r="N32" s="2">
        <v>0.01</v>
      </c>
      <c r="P32" s="4">
        <f>IF(D32*100+E32=L32*100+M32,1,0)</f>
        <v>1</v>
      </c>
      <c r="Q32" s="4">
        <f t="shared" si="37"/>
        <v>1</v>
      </c>
      <c r="R32" s="4">
        <f t="shared" si="38"/>
        <v>1</v>
      </c>
      <c r="S32" s="1">
        <f t="shared" si="2"/>
        <v>5</v>
      </c>
      <c r="T32" s="1">
        <f t="shared" si="3"/>
        <v>5</v>
      </c>
      <c r="U32" s="1">
        <f t="shared" si="4"/>
        <v>10</v>
      </c>
      <c r="V32" s="1">
        <f t="shared" si="5"/>
        <v>10</v>
      </c>
      <c r="W32" s="1">
        <f>100*(S32-D32)/D32</f>
        <v>0</v>
      </c>
      <c r="X32" s="1">
        <f>100*(T32-D32)/D32</f>
        <v>0</v>
      </c>
      <c r="Y32" s="1">
        <f>100*(U32-E32)/E32</f>
        <v>0</v>
      </c>
      <c r="Z32" s="1">
        <f>100*(V32-E32)/E32</f>
        <v>0</v>
      </c>
      <c r="AA32" s="1">
        <f t="shared" si="6"/>
        <v>2.1000000000000001E-2</v>
      </c>
      <c r="AC32" s="1">
        <f t="shared" si="7"/>
        <v>5</v>
      </c>
      <c r="AD32" s="1">
        <f t="shared" si="8"/>
        <v>10</v>
      </c>
      <c r="AE32" s="1">
        <f t="shared" si="49"/>
        <v>0.01</v>
      </c>
      <c r="AF32" s="4">
        <f t="shared" si="10"/>
        <v>5</v>
      </c>
      <c r="AG32" s="4">
        <f t="shared" si="11"/>
        <v>10</v>
      </c>
      <c r="AH32" s="4">
        <f t="shared" si="40"/>
        <v>0.03</v>
      </c>
      <c r="AI32" s="4">
        <f t="shared" si="13"/>
        <v>5</v>
      </c>
      <c r="AJ32" s="4">
        <f t="shared" si="14"/>
        <v>10</v>
      </c>
      <c r="AK32" s="4">
        <f t="shared" si="41"/>
        <v>0.01</v>
      </c>
      <c r="AL32" s="4">
        <f t="shared" si="16"/>
        <v>5</v>
      </c>
      <c r="AM32" s="4">
        <f t="shared" si="17"/>
        <v>10</v>
      </c>
      <c r="AN32" s="4">
        <f t="shared" si="42"/>
        <v>0.03</v>
      </c>
      <c r="AO32" s="4">
        <f t="shared" si="19"/>
        <v>5</v>
      </c>
      <c r="AP32" s="4">
        <f t="shared" si="20"/>
        <v>10</v>
      </c>
      <c r="AQ32" s="4">
        <f t="shared" si="43"/>
        <v>0.01</v>
      </c>
      <c r="AR32" s="4">
        <f t="shared" si="22"/>
        <v>5</v>
      </c>
      <c r="AS32" s="4">
        <f t="shared" si="23"/>
        <v>10</v>
      </c>
      <c r="AT32" s="4">
        <f t="shared" si="44"/>
        <v>0.03</v>
      </c>
      <c r="AU32" s="4">
        <f t="shared" si="25"/>
        <v>5</v>
      </c>
      <c r="AV32" s="4">
        <f t="shared" si="26"/>
        <v>10</v>
      </c>
      <c r="AW32" s="4">
        <f t="shared" si="45"/>
        <v>0.01</v>
      </c>
      <c r="AX32" s="4">
        <f t="shared" si="28"/>
        <v>5</v>
      </c>
      <c r="AY32" s="4">
        <f t="shared" si="29"/>
        <v>10</v>
      </c>
      <c r="AZ32" s="4">
        <f t="shared" si="46"/>
        <v>0.04</v>
      </c>
      <c r="BA32" s="4">
        <f t="shared" si="31"/>
        <v>5</v>
      </c>
      <c r="BB32" s="4">
        <f t="shared" si="32"/>
        <v>10</v>
      </c>
      <c r="BC32" s="4">
        <f t="shared" si="47"/>
        <v>0.01</v>
      </c>
      <c r="BD32" s="4">
        <f t="shared" si="34"/>
        <v>5</v>
      </c>
      <c r="BE32" s="4">
        <f t="shared" si="35"/>
        <v>10</v>
      </c>
      <c r="BF32" s="4">
        <f t="shared" si="48"/>
        <v>0.03</v>
      </c>
    </row>
    <row r="33" spans="1:58" x14ac:dyDescent="0.25">
      <c r="A33" s="2" t="s">
        <v>10</v>
      </c>
      <c r="B33" s="2">
        <v>148</v>
      </c>
      <c r="C33" s="2">
        <v>204</v>
      </c>
      <c r="D33" s="2">
        <v>13</v>
      </c>
      <c r="E33" s="2">
        <v>26</v>
      </c>
      <c r="F33" s="2">
        <v>1</v>
      </c>
      <c r="H33" s="9" t="s">
        <v>92</v>
      </c>
      <c r="I33" s="9" t="s">
        <v>64</v>
      </c>
      <c r="J33" s="9" t="s">
        <v>33</v>
      </c>
      <c r="K33" s="9">
        <v>52.21</v>
      </c>
      <c r="L33" s="2">
        <v>13</v>
      </c>
      <c r="M33" s="2">
        <v>26</v>
      </c>
      <c r="N33" s="2">
        <v>7.0000000000000007E-2</v>
      </c>
      <c r="P33" s="4">
        <f>IF(D33*100+E33=L33*100+M33,1,0)</f>
        <v>1</v>
      </c>
      <c r="Q33" s="4">
        <f t="shared" si="37"/>
        <v>1</v>
      </c>
      <c r="R33" s="4">
        <f t="shared" si="38"/>
        <v>1</v>
      </c>
      <c r="S33" s="1">
        <f t="shared" si="2"/>
        <v>13</v>
      </c>
      <c r="T33" s="1">
        <f t="shared" si="3"/>
        <v>13</v>
      </c>
      <c r="U33" s="1">
        <f t="shared" si="4"/>
        <v>26</v>
      </c>
      <c r="V33" s="1">
        <f t="shared" si="5"/>
        <v>26</v>
      </c>
      <c r="W33" s="1">
        <f>100*(S33-D33)/D33</f>
        <v>0</v>
      </c>
      <c r="X33" s="1">
        <f>100*(T33-D33)/D33</f>
        <v>0</v>
      </c>
      <c r="Y33" s="1">
        <f>100*(U33-E33)/E33</f>
        <v>0</v>
      </c>
      <c r="Z33" s="1">
        <f>100*(V33-E33)/E33</f>
        <v>0</v>
      </c>
      <c r="AA33" s="1">
        <f t="shared" si="6"/>
        <v>0.56299999999999994</v>
      </c>
      <c r="AC33" s="1">
        <f t="shared" si="7"/>
        <v>13</v>
      </c>
      <c r="AD33" s="1">
        <f t="shared" si="8"/>
        <v>26</v>
      </c>
      <c r="AE33" s="1">
        <f t="shared" si="49"/>
        <v>7.0000000000000007E-2</v>
      </c>
      <c r="AF33" s="4">
        <f t="shared" si="10"/>
        <v>13</v>
      </c>
      <c r="AG33" s="4">
        <f t="shared" si="11"/>
        <v>26</v>
      </c>
      <c r="AH33" s="4">
        <f t="shared" si="40"/>
        <v>0.28999999999999998</v>
      </c>
      <c r="AI33" s="4">
        <f t="shared" si="13"/>
        <v>13</v>
      </c>
      <c r="AJ33" s="4">
        <f t="shared" si="14"/>
        <v>26</v>
      </c>
      <c r="AK33" s="4">
        <f t="shared" si="41"/>
        <v>0.16</v>
      </c>
      <c r="AL33" s="4">
        <f t="shared" si="16"/>
        <v>13</v>
      </c>
      <c r="AM33" s="4">
        <f t="shared" si="17"/>
        <v>26</v>
      </c>
      <c r="AN33" s="4">
        <f t="shared" si="42"/>
        <v>1.39</v>
      </c>
      <c r="AO33" s="4">
        <f t="shared" si="19"/>
        <v>13</v>
      </c>
      <c r="AP33" s="4">
        <f t="shared" si="20"/>
        <v>26</v>
      </c>
      <c r="AQ33" s="4">
        <f t="shared" si="43"/>
        <v>0.16</v>
      </c>
      <c r="AR33" s="4">
        <f t="shared" si="22"/>
        <v>13</v>
      </c>
      <c r="AS33" s="4">
        <f t="shared" si="23"/>
        <v>26</v>
      </c>
      <c r="AT33" s="4">
        <f t="shared" si="44"/>
        <v>0.08</v>
      </c>
      <c r="AU33" s="4">
        <f t="shared" si="25"/>
        <v>13</v>
      </c>
      <c r="AV33" s="4">
        <f t="shared" si="26"/>
        <v>26</v>
      </c>
      <c r="AW33" s="4">
        <f t="shared" si="45"/>
        <v>1.33</v>
      </c>
      <c r="AX33" s="4">
        <f t="shared" si="28"/>
        <v>13</v>
      </c>
      <c r="AY33" s="4">
        <f t="shared" si="29"/>
        <v>26</v>
      </c>
      <c r="AZ33" s="4">
        <f t="shared" si="46"/>
        <v>0.69</v>
      </c>
      <c r="BA33" s="4">
        <f t="shared" si="31"/>
        <v>13</v>
      </c>
      <c r="BB33" s="4">
        <f t="shared" si="32"/>
        <v>26</v>
      </c>
      <c r="BC33" s="4">
        <f t="shared" si="47"/>
        <v>0.89</v>
      </c>
      <c r="BD33" s="4">
        <f t="shared" si="34"/>
        <v>13</v>
      </c>
      <c r="BE33" s="4">
        <f t="shared" si="35"/>
        <v>26</v>
      </c>
      <c r="BF33" s="4">
        <f t="shared" si="48"/>
        <v>0.56999999999999995</v>
      </c>
    </row>
    <row r="34" spans="1:58" x14ac:dyDescent="0.25">
      <c r="A34" s="2" t="s">
        <v>10</v>
      </c>
      <c r="B34" s="2">
        <v>148</v>
      </c>
      <c r="C34" s="2">
        <v>228</v>
      </c>
      <c r="D34" s="2">
        <v>12</v>
      </c>
      <c r="E34" s="2">
        <v>23</v>
      </c>
      <c r="F34" s="2">
        <v>1</v>
      </c>
      <c r="H34" s="9" t="s">
        <v>92</v>
      </c>
      <c r="I34" s="9" t="s">
        <v>65</v>
      </c>
      <c r="J34" s="9" t="s">
        <v>33</v>
      </c>
      <c r="K34" s="9">
        <v>47.18</v>
      </c>
      <c r="L34" s="2">
        <v>12</v>
      </c>
      <c r="M34" s="2">
        <v>23</v>
      </c>
      <c r="N34" s="2">
        <v>0.14000000000000001</v>
      </c>
      <c r="P34" s="4">
        <f t="shared" ref="P34:P66" si="50">IF(D34*100+E34=L34*100+M34,1,0)</f>
        <v>1</v>
      </c>
      <c r="Q34" s="4">
        <f t="shared" si="37"/>
        <v>1</v>
      </c>
      <c r="R34" s="4">
        <f t="shared" si="38"/>
        <v>0.7</v>
      </c>
      <c r="S34" s="1">
        <f t="shared" ref="S34:S60" si="51">MIN(L34, L93, L152, L211, L270, L329, L388, L447, L506, L565)</f>
        <v>12</v>
      </c>
      <c r="T34" s="1">
        <f t="shared" ref="T34:T60" si="52">AVERAGE(L34, L93, L152, L211, L270, L329, L388, L447, L506, L565)</f>
        <v>12</v>
      </c>
      <c r="U34" s="1">
        <f t="shared" ref="U34:U60" si="53">MIN(M34, M93, M152, M211, M270, M329, M388, M447, M506, M565)</f>
        <v>23</v>
      </c>
      <c r="V34" s="1">
        <f t="shared" ref="V34:V60" si="54">AVERAGE(M34, M93, M152, M211, M270, M329, M388, M447, M506, M565)</f>
        <v>23.3</v>
      </c>
      <c r="W34" s="1">
        <f t="shared" ref="W34:W60" si="55">100*(S34-D34)/D34</f>
        <v>0</v>
      </c>
      <c r="X34" s="1">
        <f t="shared" ref="X34:X60" si="56">100*(T34-D34)/D34</f>
        <v>0</v>
      </c>
      <c r="Y34" s="1">
        <f t="shared" ref="Y34:Y60" si="57">100*(U34-E34)/E34</f>
        <v>0</v>
      </c>
      <c r="Z34" s="1">
        <f t="shared" ref="Z34:Z60" si="58">100*(V34-E34)/E34</f>
        <v>1.3043478260869596</v>
      </c>
      <c r="AA34" s="1">
        <f t="shared" si="6"/>
        <v>90.652000000000001</v>
      </c>
      <c r="AC34" s="1">
        <f t="shared" ref="AC34:AC60" si="59">L34</f>
        <v>12</v>
      </c>
      <c r="AD34" s="1">
        <f t="shared" ref="AD34:AD60" si="60">M34</f>
        <v>23</v>
      </c>
      <c r="AE34" s="1">
        <f t="shared" si="49"/>
        <v>0.14000000000000001</v>
      </c>
      <c r="AF34" s="4">
        <f t="shared" ref="AF34:AF60" si="61">L93</f>
        <v>12</v>
      </c>
      <c r="AG34" s="4">
        <f t="shared" ref="AG34:AG60" si="62">M93</f>
        <v>24</v>
      </c>
      <c r="AH34" s="4">
        <f t="shared" si="40"/>
        <v>300.02</v>
      </c>
      <c r="AI34" s="4">
        <f t="shared" ref="AI34:AI60" si="63">L152</f>
        <v>12</v>
      </c>
      <c r="AJ34" s="4">
        <f t="shared" ref="AJ34:AJ60" si="64">M152</f>
        <v>23</v>
      </c>
      <c r="AK34" s="4">
        <f t="shared" si="41"/>
        <v>2.68</v>
      </c>
      <c r="AL34" s="4">
        <f t="shared" ref="AL34:AL60" si="65">L211</f>
        <v>12</v>
      </c>
      <c r="AM34" s="4">
        <f t="shared" ref="AM34:AM60" si="66">M211</f>
        <v>24</v>
      </c>
      <c r="AN34" s="4">
        <f t="shared" si="42"/>
        <v>300.02</v>
      </c>
      <c r="AO34" s="4">
        <f t="shared" ref="AO34:AO60" si="67">L270</f>
        <v>12</v>
      </c>
      <c r="AP34" s="4">
        <f t="shared" ref="AP34:AP60" si="68">M270</f>
        <v>23</v>
      </c>
      <c r="AQ34" s="4">
        <f t="shared" si="43"/>
        <v>0.12</v>
      </c>
      <c r="AR34" s="4">
        <f t="shared" ref="AR34:AR60" si="69">L329</f>
        <v>12</v>
      </c>
      <c r="AS34" s="4">
        <f t="shared" ref="AS34:AS60" si="70">M329</f>
        <v>24</v>
      </c>
      <c r="AT34" s="4">
        <f t="shared" si="44"/>
        <v>300.04000000000002</v>
      </c>
      <c r="AU34" s="4">
        <f t="shared" ref="AU34:AU60" si="71">L388</f>
        <v>12</v>
      </c>
      <c r="AV34" s="4">
        <f t="shared" ref="AV34:AV60" si="72">M388</f>
        <v>23</v>
      </c>
      <c r="AW34" s="4">
        <f t="shared" si="45"/>
        <v>1.27</v>
      </c>
      <c r="AX34" s="4">
        <f t="shared" ref="AX34:AX60" si="73">L447</f>
        <v>12</v>
      </c>
      <c r="AY34" s="4">
        <f t="shared" ref="AY34:AY60" si="74">M447</f>
        <v>23</v>
      </c>
      <c r="AZ34" s="4">
        <f t="shared" si="46"/>
        <v>7.0000000000000007E-2</v>
      </c>
      <c r="BA34" s="4">
        <f t="shared" ref="BA34:BA60" si="75">L506</f>
        <v>12</v>
      </c>
      <c r="BB34" s="4">
        <f t="shared" ref="BB34:BB60" si="76">M506</f>
        <v>23</v>
      </c>
      <c r="BC34" s="4">
        <f t="shared" si="47"/>
        <v>2.02</v>
      </c>
      <c r="BD34" s="4">
        <f t="shared" ref="BD34:BD60" si="77">L565</f>
        <v>12</v>
      </c>
      <c r="BE34" s="4">
        <f t="shared" ref="BE34:BE60" si="78">M565</f>
        <v>23</v>
      </c>
      <c r="BF34" s="4">
        <f t="shared" si="48"/>
        <v>0.14000000000000001</v>
      </c>
    </row>
    <row r="35" spans="1:58" x14ac:dyDescent="0.25">
      <c r="A35" s="2" t="s">
        <v>10</v>
      </c>
      <c r="B35" s="2">
        <v>148</v>
      </c>
      <c r="C35" s="2">
        <v>255</v>
      </c>
      <c r="D35" s="2">
        <v>11</v>
      </c>
      <c r="E35" s="2">
        <v>21</v>
      </c>
      <c r="F35" s="2">
        <v>1</v>
      </c>
      <c r="H35" s="9" t="s">
        <v>92</v>
      </c>
      <c r="I35" s="9" t="s">
        <v>66</v>
      </c>
      <c r="J35" s="9" t="s">
        <v>33</v>
      </c>
      <c r="K35" s="9">
        <v>43.25</v>
      </c>
      <c r="L35" s="2">
        <v>11</v>
      </c>
      <c r="M35" s="2">
        <v>21</v>
      </c>
      <c r="N35" s="2">
        <v>0.03</v>
      </c>
      <c r="P35" s="4">
        <f t="shared" si="50"/>
        <v>1</v>
      </c>
      <c r="Q35" s="4">
        <f t="shared" si="37"/>
        <v>1</v>
      </c>
      <c r="R35" s="4">
        <f t="shared" si="38"/>
        <v>1</v>
      </c>
      <c r="S35" s="1">
        <f t="shared" si="51"/>
        <v>11</v>
      </c>
      <c r="T35" s="1">
        <f t="shared" si="52"/>
        <v>11</v>
      </c>
      <c r="U35" s="1">
        <f t="shared" si="53"/>
        <v>21</v>
      </c>
      <c r="V35" s="1">
        <f t="shared" si="54"/>
        <v>21</v>
      </c>
      <c r="W35" s="1">
        <f t="shared" si="55"/>
        <v>0</v>
      </c>
      <c r="X35" s="1">
        <f t="shared" si="56"/>
        <v>0</v>
      </c>
      <c r="Y35" s="1">
        <f t="shared" si="57"/>
        <v>0</v>
      </c>
      <c r="Z35" s="1">
        <f t="shared" si="58"/>
        <v>0</v>
      </c>
      <c r="AA35" s="1">
        <f t="shared" si="6"/>
        <v>7.5999999999999998E-2</v>
      </c>
      <c r="AC35" s="1">
        <f t="shared" si="59"/>
        <v>11</v>
      </c>
      <c r="AD35" s="1">
        <f t="shared" si="60"/>
        <v>21</v>
      </c>
      <c r="AE35" s="1">
        <f t="shared" si="49"/>
        <v>0.03</v>
      </c>
      <c r="AF35" s="4">
        <f t="shared" si="61"/>
        <v>11</v>
      </c>
      <c r="AG35" s="4">
        <f t="shared" si="62"/>
        <v>21</v>
      </c>
      <c r="AH35" s="4">
        <f t="shared" si="40"/>
        <v>7.0000000000000007E-2</v>
      </c>
      <c r="AI35" s="4">
        <f t="shared" si="63"/>
        <v>11</v>
      </c>
      <c r="AJ35" s="4">
        <f t="shared" si="64"/>
        <v>21</v>
      </c>
      <c r="AK35" s="4">
        <f t="shared" si="41"/>
        <v>0.08</v>
      </c>
      <c r="AL35" s="4">
        <f t="shared" si="65"/>
        <v>11</v>
      </c>
      <c r="AM35" s="4">
        <f t="shared" si="66"/>
        <v>21</v>
      </c>
      <c r="AN35" s="4">
        <f t="shared" si="42"/>
        <v>0.04</v>
      </c>
      <c r="AO35" s="4">
        <f t="shared" si="67"/>
        <v>11</v>
      </c>
      <c r="AP35" s="4">
        <f t="shared" si="68"/>
        <v>21</v>
      </c>
      <c r="AQ35" s="4">
        <f t="shared" si="43"/>
        <v>0.08</v>
      </c>
      <c r="AR35" s="4">
        <f t="shared" si="69"/>
        <v>11</v>
      </c>
      <c r="AS35" s="4">
        <f t="shared" si="70"/>
        <v>21</v>
      </c>
      <c r="AT35" s="4">
        <f t="shared" si="44"/>
        <v>0.04</v>
      </c>
      <c r="AU35" s="4">
        <f t="shared" si="71"/>
        <v>11</v>
      </c>
      <c r="AV35" s="4">
        <f t="shared" si="72"/>
        <v>21</v>
      </c>
      <c r="AW35" s="4">
        <f t="shared" si="45"/>
        <v>0.04</v>
      </c>
      <c r="AX35" s="4">
        <f t="shared" si="73"/>
        <v>11</v>
      </c>
      <c r="AY35" s="4">
        <f t="shared" si="74"/>
        <v>21</v>
      </c>
      <c r="AZ35" s="4">
        <f t="shared" si="46"/>
        <v>0.11</v>
      </c>
      <c r="BA35" s="4">
        <f t="shared" si="75"/>
        <v>11</v>
      </c>
      <c r="BB35" s="4">
        <f t="shared" si="76"/>
        <v>21</v>
      </c>
      <c r="BC35" s="4">
        <f t="shared" si="47"/>
        <v>0.24</v>
      </c>
      <c r="BD35" s="4">
        <f t="shared" si="77"/>
        <v>11</v>
      </c>
      <c r="BE35" s="4">
        <f t="shared" si="78"/>
        <v>21</v>
      </c>
      <c r="BF35" s="4">
        <f t="shared" si="48"/>
        <v>0.03</v>
      </c>
    </row>
    <row r="36" spans="1:58" x14ac:dyDescent="0.25">
      <c r="A36" s="2" t="s">
        <v>10</v>
      </c>
      <c r="B36" s="2">
        <v>148</v>
      </c>
      <c r="C36" s="2">
        <v>306</v>
      </c>
      <c r="D36" s="2">
        <v>9</v>
      </c>
      <c r="E36" s="2">
        <v>17</v>
      </c>
      <c r="F36" s="2">
        <v>1</v>
      </c>
      <c r="H36" s="9" t="s">
        <v>92</v>
      </c>
      <c r="I36" s="9" t="s">
        <v>67</v>
      </c>
      <c r="J36" s="9" t="s">
        <v>33</v>
      </c>
      <c r="K36" s="9">
        <v>36.130000000000003</v>
      </c>
      <c r="L36" s="2">
        <v>9</v>
      </c>
      <c r="M36" s="2">
        <v>18</v>
      </c>
      <c r="N36" s="2">
        <v>300.02</v>
      </c>
      <c r="P36" s="4">
        <f t="shared" si="50"/>
        <v>0</v>
      </c>
      <c r="Q36" s="4">
        <f t="shared" si="37"/>
        <v>1</v>
      </c>
      <c r="R36" s="4">
        <f t="shared" si="38"/>
        <v>0.9</v>
      </c>
      <c r="S36" s="1">
        <f t="shared" si="51"/>
        <v>9</v>
      </c>
      <c r="T36" s="1">
        <f t="shared" si="52"/>
        <v>9</v>
      </c>
      <c r="U36" s="1">
        <f t="shared" si="53"/>
        <v>17</v>
      </c>
      <c r="V36" s="1">
        <f t="shared" si="54"/>
        <v>17.100000000000001</v>
      </c>
      <c r="W36" s="1">
        <f t="shared" si="55"/>
        <v>0</v>
      </c>
      <c r="X36" s="1">
        <f t="shared" si="56"/>
        <v>0</v>
      </c>
      <c r="Y36" s="1">
        <f t="shared" si="57"/>
        <v>0</v>
      </c>
      <c r="Z36" s="1">
        <f t="shared" si="58"/>
        <v>0.58823529411765541</v>
      </c>
      <c r="AA36" s="1">
        <f t="shared" si="6"/>
        <v>42.213999999999992</v>
      </c>
      <c r="AC36" s="1">
        <f t="shared" si="59"/>
        <v>9</v>
      </c>
      <c r="AD36" s="1">
        <f t="shared" si="60"/>
        <v>18</v>
      </c>
      <c r="AE36" s="1">
        <f t="shared" si="49"/>
        <v>300.02</v>
      </c>
      <c r="AF36" s="4">
        <f t="shared" si="61"/>
        <v>9</v>
      </c>
      <c r="AG36" s="4">
        <f t="shared" si="62"/>
        <v>17</v>
      </c>
      <c r="AH36" s="4">
        <f t="shared" si="40"/>
        <v>0.21</v>
      </c>
      <c r="AI36" s="4">
        <f t="shared" si="63"/>
        <v>9</v>
      </c>
      <c r="AJ36" s="4">
        <f t="shared" si="64"/>
        <v>17</v>
      </c>
      <c r="AK36" s="4">
        <f t="shared" si="41"/>
        <v>77.34</v>
      </c>
      <c r="AL36" s="4">
        <f t="shared" si="65"/>
        <v>9</v>
      </c>
      <c r="AM36" s="4">
        <f t="shared" si="66"/>
        <v>17</v>
      </c>
      <c r="AN36" s="4">
        <f t="shared" si="42"/>
        <v>22.67</v>
      </c>
      <c r="AO36" s="4">
        <f t="shared" si="67"/>
        <v>9</v>
      </c>
      <c r="AP36" s="4">
        <f t="shared" si="68"/>
        <v>17</v>
      </c>
      <c r="AQ36" s="4">
        <f t="shared" si="43"/>
        <v>10.99</v>
      </c>
      <c r="AR36" s="4">
        <f t="shared" si="69"/>
        <v>9</v>
      </c>
      <c r="AS36" s="4">
        <f t="shared" si="70"/>
        <v>17</v>
      </c>
      <c r="AT36" s="4">
        <f t="shared" si="44"/>
        <v>2.65</v>
      </c>
      <c r="AU36" s="4">
        <f t="shared" si="71"/>
        <v>9</v>
      </c>
      <c r="AV36" s="4">
        <f t="shared" si="72"/>
        <v>17</v>
      </c>
      <c r="AW36" s="4">
        <f t="shared" si="45"/>
        <v>0.57999999999999996</v>
      </c>
      <c r="AX36" s="4">
        <f t="shared" si="73"/>
        <v>9</v>
      </c>
      <c r="AY36" s="4">
        <f t="shared" si="74"/>
        <v>17</v>
      </c>
      <c r="AZ36" s="4">
        <f t="shared" si="46"/>
        <v>0.68</v>
      </c>
      <c r="BA36" s="4">
        <f t="shared" si="75"/>
        <v>9</v>
      </c>
      <c r="BB36" s="4">
        <f t="shared" si="76"/>
        <v>17</v>
      </c>
      <c r="BC36" s="4">
        <f t="shared" si="47"/>
        <v>0.2</v>
      </c>
      <c r="BD36" s="4">
        <f t="shared" si="77"/>
        <v>9</v>
      </c>
      <c r="BE36" s="4">
        <f t="shared" si="78"/>
        <v>17</v>
      </c>
      <c r="BF36" s="4">
        <f t="shared" si="48"/>
        <v>6.8</v>
      </c>
    </row>
    <row r="37" spans="1:58" x14ac:dyDescent="0.25">
      <c r="A37" s="2" t="s">
        <v>10</v>
      </c>
      <c r="B37" s="2">
        <v>148</v>
      </c>
      <c r="C37" s="2">
        <v>357</v>
      </c>
      <c r="D37" s="2">
        <v>8</v>
      </c>
      <c r="E37" s="2">
        <v>15</v>
      </c>
      <c r="F37" s="2">
        <v>1</v>
      </c>
      <c r="H37" s="9" t="s">
        <v>92</v>
      </c>
      <c r="I37" s="9" t="s">
        <v>68</v>
      </c>
      <c r="J37" s="9" t="s">
        <v>33</v>
      </c>
      <c r="K37" s="9">
        <v>31.19</v>
      </c>
      <c r="L37" s="2">
        <v>8</v>
      </c>
      <c r="M37" s="2">
        <v>15</v>
      </c>
      <c r="N37" s="2">
        <v>0.03</v>
      </c>
      <c r="P37" s="4">
        <f t="shared" si="50"/>
        <v>1</v>
      </c>
      <c r="Q37" s="4">
        <f t="shared" si="37"/>
        <v>1</v>
      </c>
      <c r="R37" s="4">
        <f t="shared" si="38"/>
        <v>1</v>
      </c>
      <c r="S37" s="1">
        <f t="shared" si="51"/>
        <v>8</v>
      </c>
      <c r="T37" s="1">
        <f t="shared" si="52"/>
        <v>8</v>
      </c>
      <c r="U37" s="1">
        <f t="shared" si="53"/>
        <v>15</v>
      </c>
      <c r="V37" s="1">
        <f t="shared" si="54"/>
        <v>15</v>
      </c>
      <c r="W37" s="1">
        <f t="shared" si="55"/>
        <v>0</v>
      </c>
      <c r="X37" s="1">
        <f t="shared" si="56"/>
        <v>0</v>
      </c>
      <c r="Y37" s="1">
        <f t="shared" si="57"/>
        <v>0</v>
      </c>
      <c r="Z37" s="1">
        <f t="shared" si="58"/>
        <v>0</v>
      </c>
      <c r="AA37" s="1">
        <f t="shared" si="6"/>
        <v>4.7000000000000007E-2</v>
      </c>
      <c r="AC37" s="1">
        <f t="shared" si="59"/>
        <v>8</v>
      </c>
      <c r="AD37" s="1">
        <f t="shared" si="60"/>
        <v>15</v>
      </c>
      <c r="AE37" s="1">
        <f t="shared" si="49"/>
        <v>0.03</v>
      </c>
      <c r="AF37" s="4">
        <f t="shared" si="61"/>
        <v>8</v>
      </c>
      <c r="AG37" s="4">
        <f t="shared" si="62"/>
        <v>15</v>
      </c>
      <c r="AH37" s="4">
        <f t="shared" si="40"/>
        <v>0.03</v>
      </c>
      <c r="AI37" s="4">
        <f t="shared" si="63"/>
        <v>8</v>
      </c>
      <c r="AJ37" s="4">
        <f t="shared" si="64"/>
        <v>15</v>
      </c>
      <c r="AK37" s="4">
        <f t="shared" si="41"/>
        <v>0.04</v>
      </c>
      <c r="AL37" s="4">
        <f t="shared" si="65"/>
        <v>8</v>
      </c>
      <c r="AM37" s="4">
        <f t="shared" si="66"/>
        <v>15</v>
      </c>
      <c r="AN37" s="4">
        <f t="shared" si="42"/>
        <v>0.08</v>
      </c>
      <c r="AO37" s="4">
        <f t="shared" si="67"/>
        <v>8</v>
      </c>
      <c r="AP37" s="4">
        <f t="shared" si="68"/>
        <v>15</v>
      </c>
      <c r="AQ37" s="4">
        <f t="shared" si="43"/>
        <v>0.04</v>
      </c>
      <c r="AR37" s="4">
        <f t="shared" si="69"/>
        <v>8</v>
      </c>
      <c r="AS37" s="4">
        <f t="shared" si="70"/>
        <v>15</v>
      </c>
      <c r="AT37" s="4">
        <f t="shared" si="44"/>
        <v>0.04</v>
      </c>
      <c r="AU37" s="4">
        <f t="shared" si="71"/>
        <v>8</v>
      </c>
      <c r="AV37" s="4">
        <f t="shared" si="72"/>
        <v>15</v>
      </c>
      <c r="AW37" s="4">
        <f t="shared" si="45"/>
        <v>0.03</v>
      </c>
      <c r="AX37" s="4">
        <f t="shared" si="73"/>
        <v>8</v>
      </c>
      <c r="AY37" s="4">
        <f t="shared" si="74"/>
        <v>15</v>
      </c>
      <c r="AZ37" s="4">
        <f t="shared" si="46"/>
        <v>0.03</v>
      </c>
      <c r="BA37" s="4">
        <f t="shared" si="75"/>
        <v>8</v>
      </c>
      <c r="BB37" s="4">
        <f t="shared" si="76"/>
        <v>15</v>
      </c>
      <c r="BC37" s="4">
        <f t="shared" si="47"/>
        <v>0.08</v>
      </c>
      <c r="BD37" s="4">
        <f t="shared" si="77"/>
        <v>8</v>
      </c>
      <c r="BE37" s="4">
        <f t="shared" si="78"/>
        <v>15</v>
      </c>
      <c r="BF37" s="4">
        <f t="shared" si="48"/>
        <v>7.0000000000000007E-2</v>
      </c>
    </row>
    <row r="38" spans="1:58" x14ac:dyDescent="0.25">
      <c r="A38" s="2" t="s">
        <v>10</v>
      </c>
      <c r="B38" s="2">
        <v>148</v>
      </c>
      <c r="C38" s="2">
        <v>378</v>
      </c>
      <c r="D38" s="2">
        <v>7</v>
      </c>
      <c r="E38" s="2">
        <v>14</v>
      </c>
      <c r="F38" s="2">
        <v>1</v>
      </c>
      <c r="H38" s="9" t="s">
        <v>92</v>
      </c>
      <c r="I38" s="9" t="s">
        <v>69</v>
      </c>
      <c r="J38" s="9" t="s">
        <v>33</v>
      </c>
      <c r="K38" s="9">
        <v>28.08</v>
      </c>
      <c r="L38" s="2">
        <v>7</v>
      </c>
      <c r="M38" s="2">
        <v>14</v>
      </c>
      <c r="N38" s="2">
        <v>0.14000000000000001</v>
      </c>
      <c r="P38" s="4">
        <f t="shared" si="50"/>
        <v>1</v>
      </c>
      <c r="Q38" s="4">
        <f t="shared" si="37"/>
        <v>1</v>
      </c>
      <c r="R38" s="4">
        <f t="shared" si="38"/>
        <v>1</v>
      </c>
      <c r="S38" s="1">
        <f t="shared" si="51"/>
        <v>7</v>
      </c>
      <c r="T38" s="1">
        <f t="shared" si="52"/>
        <v>7</v>
      </c>
      <c r="U38" s="1">
        <f t="shared" si="53"/>
        <v>14</v>
      </c>
      <c r="V38" s="1">
        <f t="shared" si="54"/>
        <v>14</v>
      </c>
      <c r="W38" s="1">
        <f t="shared" si="55"/>
        <v>0</v>
      </c>
      <c r="X38" s="1">
        <f t="shared" si="56"/>
        <v>0</v>
      </c>
      <c r="Y38" s="1">
        <f t="shared" si="57"/>
        <v>0</v>
      </c>
      <c r="Z38" s="1">
        <f t="shared" si="58"/>
        <v>0</v>
      </c>
      <c r="AA38" s="1">
        <f t="shared" si="6"/>
        <v>4.8849999999999998</v>
      </c>
      <c r="AC38" s="1">
        <f t="shared" si="59"/>
        <v>7</v>
      </c>
      <c r="AD38" s="1">
        <f t="shared" si="60"/>
        <v>14</v>
      </c>
      <c r="AE38" s="1">
        <f t="shared" si="49"/>
        <v>0.14000000000000001</v>
      </c>
      <c r="AF38" s="4">
        <f t="shared" si="61"/>
        <v>7</v>
      </c>
      <c r="AG38" s="4">
        <f t="shared" si="62"/>
        <v>14</v>
      </c>
      <c r="AH38" s="4">
        <f t="shared" si="40"/>
        <v>1.44</v>
      </c>
      <c r="AI38" s="4">
        <f t="shared" si="63"/>
        <v>7</v>
      </c>
      <c r="AJ38" s="4">
        <f t="shared" si="64"/>
        <v>14</v>
      </c>
      <c r="AK38" s="4">
        <f t="shared" si="41"/>
        <v>0.27</v>
      </c>
      <c r="AL38" s="4">
        <f t="shared" si="65"/>
        <v>7</v>
      </c>
      <c r="AM38" s="4">
        <f t="shared" si="66"/>
        <v>14</v>
      </c>
      <c r="AN38" s="4">
        <f t="shared" si="42"/>
        <v>3.52</v>
      </c>
      <c r="AO38" s="4">
        <f t="shared" si="67"/>
        <v>7</v>
      </c>
      <c r="AP38" s="4">
        <f t="shared" si="68"/>
        <v>14</v>
      </c>
      <c r="AQ38" s="4">
        <f t="shared" si="43"/>
        <v>0.15</v>
      </c>
      <c r="AR38" s="4">
        <f t="shared" si="69"/>
        <v>7</v>
      </c>
      <c r="AS38" s="4">
        <f t="shared" si="70"/>
        <v>14</v>
      </c>
      <c r="AT38" s="4">
        <f t="shared" si="44"/>
        <v>1.93</v>
      </c>
      <c r="AU38" s="4">
        <f t="shared" si="71"/>
        <v>7</v>
      </c>
      <c r="AV38" s="4">
        <f t="shared" si="72"/>
        <v>14</v>
      </c>
      <c r="AW38" s="4">
        <f t="shared" si="45"/>
        <v>0.43</v>
      </c>
      <c r="AX38" s="4">
        <f t="shared" si="73"/>
        <v>7</v>
      </c>
      <c r="AY38" s="4">
        <f t="shared" si="74"/>
        <v>14</v>
      </c>
      <c r="AZ38" s="4">
        <f t="shared" si="46"/>
        <v>39.299999999999997</v>
      </c>
      <c r="BA38" s="4">
        <f t="shared" si="75"/>
        <v>7</v>
      </c>
      <c r="BB38" s="4">
        <f t="shared" si="76"/>
        <v>14</v>
      </c>
      <c r="BC38" s="4">
        <f t="shared" si="47"/>
        <v>1.44</v>
      </c>
      <c r="BD38" s="4">
        <f t="shared" si="77"/>
        <v>7</v>
      </c>
      <c r="BE38" s="4">
        <f t="shared" si="78"/>
        <v>14</v>
      </c>
      <c r="BF38" s="4">
        <f t="shared" si="48"/>
        <v>0.23</v>
      </c>
    </row>
    <row r="39" spans="1:58" x14ac:dyDescent="0.25">
      <c r="A39" s="2" t="s">
        <v>10</v>
      </c>
      <c r="B39" s="2">
        <v>148</v>
      </c>
      <c r="C39" s="3">
        <v>408</v>
      </c>
      <c r="D39" s="3">
        <v>7</v>
      </c>
      <c r="E39" s="3">
        <v>13</v>
      </c>
      <c r="F39" s="2">
        <v>1</v>
      </c>
      <c r="H39" s="9" t="s">
        <v>92</v>
      </c>
      <c r="I39" s="9" t="s">
        <v>70</v>
      </c>
      <c r="J39" s="9" t="s">
        <v>33</v>
      </c>
      <c r="K39" s="9">
        <v>27.16</v>
      </c>
      <c r="L39" s="2">
        <v>7</v>
      </c>
      <c r="M39" s="2">
        <v>13</v>
      </c>
      <c r="N39" s="2">
        <v>0.21</v>
      </c>
      <c r="P39" s="4">
        <f t="shared" si="50"/>
        <v>1</v>
      </c>
      <c r="Q39" s="4">
        <f t="shared" si="37"/>
        <v>1</v>
      </c>
      <c r="R39" s="4">
        <f t="shared" si="38"/>
        <v>1</v>
      </c>
      <c r="S39" s="1">
        <f t="shared" si="51"/>
        <v>7</v>
      </c>
      <c r="T39" s="1">
        <f t="shared" si="52"/>
        <v>7</v>
      </c>
      <c r="U39" s="1">
        <f t="shared" si="53"/>
        <v>13</v>
      </c>
      <c r="V39" s="1">
        <f t="shared" si="54"/>
        <v>13</v>
      </c>
      <c r="W39" s="1">
        <f t="shared" si="55"/>
        <v>0</v>
      </c>
      <c r="X39" s="1">
        <f t="shared" si="56"/>
        <v>0</v>
      </c>
      <c r="Y39" s="1">
        <f t="shared" si="57"/>
        <v>0</v>
      </c>
      <c r="Z39" s="1">
        <f t="shared" si="58"/>
        <v>0</v>
      </c>
      <c r="AA39" s="1">
        <f t="shared" si="6"/>
        <v>0.43200000000000005</v>
      </c>
      <c r="AC39" s="1">
        <f t="shared" si="59"/>
        <v>7</v>
      </c>
      <c r="AD39" s="1">
        <f t="shared" si="60"/>
        <v>13</v>
      </c>
      <c r="AE39" s="1">
        <f t="shared" si="49"/>
        <v>0.21</v>
      </c>
      <c r="AF39" s="4">
        <f t="shared" si="61"/>
        <v>7</v>
      </c>
      <c r="AG39" s="4">
        <f t="shared" si="62"/>
        <v>13</v>
      </c>
      <c r="AH39" s="4">
        <f t="shared" si="40"/>
        <v>0.17</v>
      </c>
      <c r="AI39" s="4">
        <f t="shared" si="63"/>
        <v>7</v>
      </c>
      <c r="AJ39" s="4">
        <f t="shared" si="64"/>
        <v>13</v>
      </c>
      <c r="AK39" s="4">
        <f t="shared" si="41"/>
        <v>0.04</v>
      </c>
      <c r="AL39" s="4">
        <f t="shared" si="65"/>
        <v>7</v>
      </c>
      <c r="AM39" s="4">
        <f t="shared" si="66"/>
        <v>13</v>
      </c>
      <c r="AN39" s="4">
        <f t="shared" si="42"/>
        <v>1.06</v>
      </c>
      <c r="AO39" s="4">
        <f t="shared" si="67"/>
        <v>7</v>
      </c>
      <c r="AP39" s="4">
        <f t="shared" si="68"/>
        <v>13</v>
      </c>
      <c r="AQ39" s="4">
        <f t="shared" si="43"/>
        <v>7.0000000000000007E-2</v>
      </c>
      <c r="AR39" s="4">
        <f t="shared" si="69"/>
        <v>7</v>
      </c>
      <c r="AS39" s="4">
        <f t="shared" si="70"/>
        <v>13</v>
      </c>
      <c r="AT39" s="4">
        <f t="shared" si="44"/>
        <v>0.15</v>
      </c>
      <c r="AU39" s="4">
        <f t="shared" si="71"/>
        <v>7</v>
      </c>
      <c r="AV39" s="4">
        <f t="shared" si="72"/>
        <v>13</v>
      </c>
      <c r="AW39" s="4">
        <f t="shared" si="45"/>
        <v>0.36</v>
      </c>
      <c r="AX39" s="4">
        <f t="shared" si="73"/>
        <v>7</v>
      </c>
      <c r="AY39" s="4">
        <f t="shared" si="74"/>
        <v>13</v>
      </c>
      <c r="AZ39" s="4">
        <f t="shared" si="46"/>
        <v>2</v>
      </c>
      <c r="BA39" s="4">
        <f t="shared" si="75"/>
        <v>7</v>
      </c>
      <c r="BB39" s="4">
        <f t="shared" si="76"/>
        <v>13</v>
      </c>
      <c r="BC39" s="4">
        <f t="shared" si="47"/>
        <v>0.16</v>
      </c>
      <c r="BD39" s="4">
        <f t="shared" si="77"/>
        <v>7</v>
      </c>
      <c r="BE39" s="4">
        <f t="shared" si="78"/>
        <v>13</v>
      </c>
      <c r="BF39" s="4">
        <f t="shared" si="48"/>
        <v>0.1</v>
      </c>
    </row>
    <row r="40" spans="1:58" x14ac:dyDescent="0.25">
      <c r="A40" s="2" t="s">
        <v>10</v>
      </c>
      <c r="B40" s="2">
        <v>148</v>
      </c>
      <c r="C40" s="3">
        <v>454</v>
      </c>
      <c r="D40" s="3">
        <v>6</v>
      </c>
      <c r="E40" s="3">
        <v>12</v>
      </c>
      <c r="F40" s="2">
        <v>1</v>
      </c>
      <c r="H40" s="9" t="s">
        <v>92</v>
      </c>
      <c r="I40" s="9" t="s">
        <v>71</v>
      </c>
      <c r="J40" s="9" t="s">
        <v>33</v>
      </c>
      <c r="K40" s="9">
        <v>24.08</v>
      </c>
      <c r="L40" s="2">
        <v>6</v>
      </c>
      <c r="M40" s="2">
        <v>12</v>
      </c>
      <c r="N40" s="2">
        <v>0.42</v>
      </c>
      <c r="P40" s="4">
        <f t="shared" si="50"/>
        <v>1</v>
      </c>
      <c r="Q40" s="4">
        <f t="shared" si="37"/>
        <v>1</v>
      </c>
      <c r="R40" s="4">
        <f t="shared" si="38"/>
        <v>1</v>
      </c>
      <c r="S40" s="1">
        <f t="shared" si="51"/>
        <v>6</v>
      </c>
      <c r="T40" s="1">
        <f t="shared" si="52"/>
        <v>6</v>
      </c>
      <c r="U40" s="1">
        <f t="shared" si="53"/>
        <v>12</v>
      </c>
      <c r="V40" s="1">
        <f t="shared" si="54"/>
        <v>12</v>
      </c>
      <c r="W40" s="1">
        <f t="shared" si="55"/>
        <v>0</v>
      </c>
      <c r="X40" s="1">
        <f t="shared" si="56"/>
        <v>0</v>
      </c>
      <c r="Y40" s="1">
        <f t="shared" si="57"/>
        <v>0</v>
      </c>
      <c r="Z40" s="1">
        <f t="shared" si="58"/>
        <v>0</v>
      </c>
      <c r="AA40" s="1">
        <f t="shared" si="6"/>
        <v>6.0009999999999994</v>
      </c>
      <c r="AC40" s="1">
        <f t="shared" si="59"/>
        <v>6</v>
      </c>
      <c r="AD40" s="1">
        <f t="shared" si="60"/>
        <v>12</v>
      </c>
      <c r="AE40" s="1">
        <f t="shared" si="49"/>
        <v>0.42</v>
      </c>
      <c r="AF40" s="4">
        <f t="shared" si="61"/>
        <v>6</v>
      </c>
      <c r="AG40" s="4">
        <f t="shared" si="62"/>
        <v>12</v>
      </c>
      <c r="AH40" s="4">
        <f t="shared" si="40"/>
        <v>2.21</v>
      </c>
      <c r="AI40" s="4">
        <f t="shared" si="63"/>
        <v>6</v>
      </c>
      <c r="AJ40" s="4">
        <f t="shared" si="64"/>
        <v>12</v>
      </c>
      <c r="AK40" s="4">
        <f t="shared" si="41"/>
        <v>0.2</v>
      </c>
      <c r="AL40" s="4">
        <f t="shared" si="65"/>
        <v>6</v>
      </c>
      <c r="AM40" s="4">
        <f t="shared" si="66"/>
        <v>12</v>
      </c>
      <c r="AN40" s="4">
        <f t="shared" si="42"/>
        <v>0.91</v>
      </c>
      <c r="AO40" s="4">
        <f t="shared" si="67"/>
        <v>6</v>
      </c>
      <c r="AP40" s="4">
        <f t="shared" si="68"/>
        <v>12</v>
      </c>
      <c r="AQ40" s="4">
        <f t="shared" si="43"/>
        <v>49.3</v>
      </c>
      <c r="AR40" s="4">
        <f t="shared" si="69"/>
        <v>6</v>
      </c>
      <c r="AS40" s="4">
        <f t="shared" si="70"/>
        <v>12</v>
      </c>
      <c r="AT40" s="4">
        <f t="shared" si="44"/>
        <v>5.22</v>
      </c>
      <c r="AU40" s="4">
        <f t="shared" si="71"/>
        <v>6</v>
      </c>
      <c r="AV40" s="4">
        <f t="shared" si="72"/>
        <v>12</v>
      </c>
      <c r="AW40" s="4">
        <f t="shared" si="45"/>
        <v>0.11</v>
      </c>
      <c r="AX40" s="4">
        <f t="shared" si="73"/>
        <v>6</v>
      </c>
      <c r="AY40" s="4">
        <f t="shared" si="74"/>
        <v>12</v>
      </c>
      <c r="AZ40" s="4">
        <f t="shared" si="46"/>
        <v>1.19</v>
      </c>
      <c r="BA40" s="4">
        <f t="shared" si="75"/>
        <v>6</v>
      </c>
      <c r="BB40" s="4">
        <f t="shared" si="76"/>
        <v>12</v>
      </c>
      <c r="BC40" s="4">
        <f t="shared" si="47"/>
        <v>0.42</v>
      </c>
      <c r="BD40" s="4">
        <f t="shared" si="77"/>
        <v>6</v>
      </c>
      <c r="BE40" s="4">
        <f t="shared" si="78"/>
        <v>12</v>
      </c>
      <c r="BF40" s="4">
        <f t="shared" si="48"/>
        <v>0.03</v>
      </c>
    </row>
    <row r="41" spans="1:58" x14ac:dyDescent="0.25">
      <c r="A41" s="2" t="s">
        <v>10</v>
      </c>
      <c r="B41" s="2">
        <v>148</v>
      </c>
      <c r="C41" s="3">
        <v>459</v>
      </c>
      <c r="D41" s="3">
        <v>6</v>
      </c>
      <c r="E41" s="3">
        <v>12</v>
      </c>
      <c r="F41" s="2">
        <v>1</v>
      </c>
      <c r="H41" s="9" t="s">
        <v>92</v>
      </c>
      <c r="I41" s="9" t="s">
        <v>72</v>
      </c>
      <c r="J41" s="9" t="s">
        <v>33</v>
      </c>
      <c r="K41" s="9">
        <v>24.18</v>
      </c>
      <c r="L41" s="2">
        <v>6</v>
      </c>
      <c r="M41" s="2">
        <v>12</v>
      </c>
      <c r="N41" s="2">
        <v>3.03</v>
      </c>
      <c r="P41" s="4">
        <f t="shared" si="50"/>
        <v>1</v>
      </c>
      <c r="Q41" s="4">
        <f t="shared" si="37"/>
        <v>1</v>
      </c>
      <c r="R41" s="4">
        <f t="shared" si="38"/>
        <v>1</v>
      </c>
      <c r="S41" s="1">
        <f t="shared" si="51"/>
        <v>6</v>
      </c>
      <c r="T41" s="1">
        <f t="shared" si="52"/>
        <v>6</v>
      </c>
      <c r="U41" s="1">
        <f t="shared" si="53"/>
        <v>12</v>
      </c>
      <c r="V41" s="1">
        <f t="shared" si="54"/>
        <v>12</v>
      </c>
      <c r="W41" s="1">
        <f t="shared" si="55"/>
        <v>0</v>
      </c>
      <c r="X41" s="1">
        <f t="shared" si="56"/>
        <v>0</v>
      </c>
      <c r="Y41" s="1">
        <f t="shared" si="57"/>
        <v>0</v>
      </c>
      <c r="Z41" s="1">
        <f t="shared" si="58"/>
        <v>0</v>
      </c>
      <c r="AA41" s="1">
        <f t="shared" si="6"/>
        <v>0.7420000000000001</v>
      </c>
      <c r="AC41" s="1">
        <f t="shared" si="59"/>
        <v>6</v>
      </c>
      <c r="AD41" s="1">
        <f t="shared" si="60"/>
        <v>12</v>
      </c>
      <c r="AE41" s="1">
        <f t="shared" si="49"/>
        <v>3.03</v>
      </c>
      <c r="AF41" s="4">
        <f t="shared" si="61"/>
        <v>6</v>
      </c>
      <c r="AG41" s="4">
        <f t="shared" si="62"/>
        <v>12</v>
      </c>
      <c r="AH41" s="4">
        <f t="shared" si="40"/>
        <v>0.1</v>
      </c>
      <c r="AI41" s="4">
        <f t="shared" si="63"/>
        <v>6</v>
      </c>
      <c r="AJ41" s="4">
        <f t="shared" si="64"/>
        <v>12</v>
      </c>
      <c r="AK41" s="4">
        <f t="shared" si="41"/>
        <v>1.02</v>
      </c>
      <c r="AL41" s="4">
        <f t="shared" si="65"/>
        <v>6</v>
      </c>
      <c r="AM41" s="4">
        <f t="shared" si="66"/>
        <v>12</v>
      </c>
      <c r="AN41" s="4">
        <f t="shared" si="42"/>
        <v>0.3</v>
      </c>
      <c r="AO41" s="4">
        <f t="shared" si="67"/>
        <v>6</v>
      </c>
      <c r="AP41" s="4">
        <f t="shared" si="68"/>
        <v>12</v>
      </c>
      <c r="AQ41" s="4">
        <f t="shared" si="43"/>
        <v>1.95</v>
      </c>
      <c r="AR41" s="4">
        <f t="shared" si="69"/>
        <v>6</v>
      </c>
      <c r="AS41" s="4">
        <f t="shared" si="70"/>
        <v>12</v>
      </c>
      <c r="AT41" s="4">
        <f t="shared" si="44"/>
        <v>0.04</v>
      </c>
      <c r="AU41" s="4">
        <f t="shared" si="71"/>
        <v>6</v>
      </c>
      <c r="AV41" s="4">
        <f t="shared" si="72"/>
        <v>12</v>
      </c>
      <c r="AW41" s="4">
        <f t="shared" si="45"/>
        <v>0.03</v>
      </c>
      <c r="AX41" s="4">
        <f t="shared" si="73"/>
        <v>6</v>
      </c>
      <c r="AY41" s="4">
        <f t="shared" si="74"/>
        <v>12</v>
      </c>
      <c r="AZ41" s="4">
        <f t="shared" si="46"/>
        <v>0.12</v>
      </c>
      <c r="BA41" s="4">
        <f t="shared" si="75"/>
        <v>6</v>
      </c>
      <c r="BB41" s="4">
        <f t="shared" si="76"/>
        <v>12</v>
      </c>
      <c r="BC41" s="4">
        <f t="shared" si="47"/>
        <v>0.69</v>
      </c>
      <c r="BD41" s="4">
        <f t="shared" si="77"/>
        <v>6</v>
      </c>
      <c r="BE41" s="4">
        <f t="shared" si="78"/>
        <v>12</v>
      </c>
      <c r="BF41" s="4">
        <f t="shared" si="48"/>
        <v>0.14000000000000001</v>
      </c>
    </row>
    <row r="42" spans="1:58" x14ac:dyDescent="0.25">
      <c r="A42" s="2" t="s">
        <v>10</v>
      </c>
      <c r="B42" s="2">
        <v>148</v>
      </c>
      <c r="C42" s="3">
        <v>510</v>
      </c>
      <c r="D42" s="3">
        <v>6</v>
      </c>
      <c r="E42" s="3">
        <v>11</v>
      </c>
      <c r="F42" s="2">
        <v>1</v>
      </c>
      <c r="H42" s="9" t="s">
        <v>92</v>
      </c>
      <c r="I42" s="9" t="s">
        <v>73</v>
      </c>
      <c r="J42" s="9" t="s">
        <v>33</v>
      </c>
      <c r="K42" s="9">
        <v>23.24</v>
      </c>
      <c r="L42" s="2">
        <v>6</v>
      </c>
      <c r="M42" s="2">
        <v>11</v>
      </c>
      <c r="N42" s="2">
        <v>0.03</v>
      </c>
      <c r="P42" s="4">
        <f t="shared" si="50"/>
        <v>1</v>
      </c>
      <c r="Q42" s="4">
        <f t="shared" si="37"/>
        <v>1</v>
      </c>
      <c r="R42" s="4">
        <f t="shared" si="38"/>
        <v>1</v>
      </c>
      <c r="S42" s="1">
        <f t="shared" si="51"/>
        <v>6</v>
      </c>
      <c r="T42" s="1">
        <f t="shared" si="52"/>
        <v>6</v>
      </c>
      <c r="U42" s="1">
        <f t="shared" si="53"/>
        <v>11</v>
      </c>
      <c r="V42" s="1">
        <f t="shared" si="54"/>
        <v>11</v>
      </c>
      <c r="W42" s="1">
        <f t="shared" si="55"/>
        <v>0</v>
      </c>
      <c r="X42" s="1">
        <f t="shared" si="56"/>
        <v>0</v>
      </c>
      <c r="Y42" s="1">
        <f t="shared" si="57"/>
        <v>0</v>
      </c>
      <c r="Z42" s="1">
        <f t="shared" si="58"/>
        <v>0</v>
      </c>
      <c r="AA42" s="1">
        <f t="shared" si="6"/>
        <v>3.3000000000000008E-2</v>
      </c>
      <c r="AC42" s="1">
        <f t="shared" si="59"/>
        <v>6</v>
      </c>
      <c r="AD42" s="1">
        <f t="shared" si="60"/>
        <v>11</v>
      </c>
      <c r="AE42" s="1">
        <f t="shared" si="49"/>
        <v>0.03</v>
      </c>
      <c r="AF42" s="4">
        <f t="shared" si="61"/>
        <v>6</v>
      </c>
      <c r="AG42" s="4">
        <f t="shared" si="62"/>
        <v>11</v>
      </c>
      <c r="AH42" s="4">
        <f t="shared" si="40"/>
        <v>0.03</v>
      </c>
      <c r="AI42" s="4">
        <f t="shared" si="63"/>
        <v>6</v>
      </c>
      <c r="AJ42" s="4">
        <f t="shared" si="64"/>
        <v>11</v>
      </c>
      <c r="AK42" s="4">
        <f t="shared" si="41"/>
        <v>0.04</v>
      </c>
      <c r="AL42" s="4">
        <f t="shared" si="65"/>
        <v>6</v>
      </c>
      <c r="AM42" s="4">
        <f t="shared" si="66"/>
        <v>11</v>
      </c>
      <c r="AN42" s="4">
        <f t="shared" si="42"/>
        <v>0.03</v>
      </c>
      <c r="AO42" s="4">
        <f t="shared" si="67"/>
        <v>6</v>
      </c>
      <c r="AP42" s="4">
        <f t="shared" si="68"/>
        <v>11</v>
      </c>
      <c r="AQ42" s="4">
        <f t="shared" si="43"/>
        <v>0.04</v>
      </c>
      <c r="AR42" s="4">
        <f t="shared" si="69"/>
        <v>6</v>
      </c>
      <c r="AS42" s="4">
        <f t="shared" si="70"/>
        <v>11</v>
      </c>
      <c r="AT42" s="4">
        <f t="shared" si="44"/>
        <v>0.03</v>
      </c>
      <c r="AU42" s="4">
        <f t="shared" si="71"/>
        <v>6</v>
      </c>
      <c r="AV42" s="4">
        <f t="shared" si="72"/>
        <v>11</v>
      </c>
      <c r="AW42" s="4">
        <f t="shared" si="45"/>
        <v>0.04</v>
      </c>
      <c r="AX42" s="4">
        <f t="shared" si="73"/>
        <v>6</v>
      </c>
      <c r="AY42" s="4">
        <f t="shared" si="74"/>
        <v>11</v>
      </c>
      <c r="AZ42" s="4">
        <f t="shared" si="46"/>
        <v>0.03</v>
      </c>
      <c r="BA42" s="4">
        <f t="shared" si="75"/>
        <v>6</v>
      </c>
      <c r="BB42" s="4">
        <f t="shared" si="76"/>
        <v>11</v>
      </c>
      <c r="BC42" s="4">
        <f t="shared" si="47"/>
        <v>0.03</v>
      </c>
      <c r="BD42" s="4">
        <f t="shared" si="77"/>
        <v>6</v>
      </c>
      <c r="BE42" s="4">
        <f t="shared" si="78"/>
        <v>11</v>
      </c>
      <c r="BF42" s="4">
        <f t="shared" si="48"/>
        <v>0.03</v>
      </c>
    </row>
    <row r="43" spans="1:58" x14ac:dyDescent="0.25">
      <c r="A43" s="2" t="s">
        <v>11</v>
      </c>
      <c r="B43" s="2">
        <v>205</v>
      </c>
      <c r="C43" s="3">
        <v>1133</v>
      </c>
      <c r="D43" s="3">
        <v>11</v>
      </c>
      <c r="E43" s="3">
        <v>21</v>
      </c>
      <c r="F43" s="2">
        <v>1</v>
      </c>
      <c r="H43" s="9" t="s">
        <v>92</v>
      </c>
      <c r="I43" s="9" t="s">
        <v>74</v>
      </c>
      <c r="J43" s="9" t="s">
        <v>33</v>
      </c>
      <c r="K43" s="9">
        <v>47.53</v>
      </c>
      <c r="L43" s="2">
        <v>12</v>
      </c>
      <c r="M43" s="2">
        <v>23</v>
      </c>
      <c r="N43" s="2">
        <v>300</v>
      </c>
      <c r="P43" s="4">
        <f t="shared" si="50"/>
        <v>0</v>
      </c>
      <c r="Q43" s="4">
        <f t="shared" si="37"/>
        <v>0</v>
      </c>
      <c r="R43" s="4">
        <f t="shared" si="38"/>
        <v>0</v>
      </c>
      <c r="S43" s="1">
        <f t="shared" si="51"/>
        <v>11</v>
      </c>
      <c r="T43" s="1">
        <f t="shared" si="52"/>
        <v>11.9</v>
      </c>
      <c r="U43" s="1">
        <f t="shared" si="53"/>
        <v>22</v>
      </c>
      <c r="V43" s="1">
        <f t="shared" si="54"/>
        <v>22.8</v>
      </c>
      <c r="W43" s="1">
        <f t="shared" si="55"/>
        <v>0</v>
      </c>
      <c r="X43" s="1">
        <f t="shared" si="56"/>
        <v>8.1818181818181852</v>
      </c>
      <c r="Y43" s="1">
        <f t="shared" si="57"/>
        <v>4.7619047619047619</v>
      </c>
      <c r="Z43" s="1">
        <f t="shared" si="58"/>
        <v>8.5714285714285747</v>
      </c>
      <c r="AA43" s="1">
        <f t="shared" si="6"/>
        <v>300.01899999999995</v>
      </c>
      <c r="AC43" s="1">
        <f t="shared" si="59"/>
        <v>12</v>
      </c>
      <c r="AD43" s="1">
        <f t="shared" si="60"/>
        <v>23</v>
      </c>
      <c r="AE43" s="1">
        <f t="shared" si="49"/>
        <v>300</v>
      </c>
      <c r="AF43" s="4">
        <f t="shared" si="61"/>
        <v>12</v>
      </c>
      <c r="AG43" s="4">
        <f t="shared" si="62"/>
        <v>23</v>
      </c>
      <c r="AH43" s="4">
        <f t="shared" si="40"/>
        <v>300.04000000000002</v>
      </c>
      <c r="AI43" s="4">
        <f t="shared" si="63"/>
        <v>12</v>
      </c>
      <c r="AJ43" s="4">
        <f t="shared" si="64"/>
        <v>23</v>
      </c>
      <c r="AK43" s="4">
        <f t="shared" si="41"/>
        <v>300.01</v>
      </c>
      <c r="AL43" s="4">
        <f t="shared" si="65"/>
        <v>12</v>
      </c>
      <c r="AM43" s="4">
        <f t="shared" si="66"/>
        <v>23</v>
      </c>
      <c r="AN43" s="4">
        <f t="shared" si="42"/>
        <v>300.02</v>
      </c>
      <c r="AO43" s="4">
        <f t="shared" si="67"/>
        <v>12</v>
      </c>
      <c r="AP43" s="4">
        <f t="shared" si="68"/>
        <v>22</v>
      </c>
      <c r="AQ43" s="4">
        <f t="shared" si="43"/>
        <v>300.02999999999997</v>
      </c>
      <c r="AR43" s="4">
        <f t="shared" si="69"/>
        <v>12</v>
      </c>
      <c r="AS43" s="4">
        <f t="shared" si="70"/>
        <v>23</v>
      </c>
      <c r="AT43" s="4">
        <f t="shared" si="44"/>
        <v>300.01</v>
      </c>
      <c r="AU43" s="4">
        <f t="shared" si="71"/>
        <v>12</v>
      </c>
      <c r="AV43" s="4">
        <f t="shared" si="72"/>
        <v>23</v>
      </c>
      <c r="AW43" s="4">
        <f t="shared" si="45"/>
        <v>300.02999999999997</v>
      </c>
      <c r="AX43" s="4">
        <f t="shared" si="73"/>
        <v>12</v>
      </c>
      <c r="AY43" s="4">
        <f t="shared" si="74"/>
        <v>23</v>
      </c>
      <c r="AZ43" s="4">
        <f t="shared" si="46"/>
        <v>300.02</v>
      </c>
      <c r="BA43" s="4">
        <f t="shared" si="75"/>
        <v>12</v>
      </c>
      <c r="BB43" s="4">
        <f t="shared" si="76"/>
        <v>23</v>
      </c>
      <c r="BC43" s="4">
        <f t="shared" si="47"/>
        <v>300.02</v>
      </c>
      <c r="BD43" s="4">
        <f t="shared" si="77"/>
        <v>11</v>
      </c>
      <c r="BE43" s="4">
        <f t="shared" si="78"/>
        <v>22</v>
      </c>
      <c r="BF43" s="4">
        <f t="shared" si="48"/>
        <v>300.01</v>
      </c>
    </row>
    <row r="44" spans="1:58" x14ac:dyDescent="0.25">
      <c r="A44" s="2" t="s">
        <v>11</v>
      </c>
      <c r="B44" s="2">
        <v>205</v>
      </c>
      <c r="C44" s="3">
        <v>1275</v>
      </c>
      <c r="D44" s="3">
        <v>10</v>
      </c>
      <c r="E44" s="3">
        <v>19</v>
      </c>
      <c r="F44" s="2">
        <v>1</v>
      </c>
      <c r="H44" s="9" t="s">
        <v>92</v>
      </c>
      <c r="I44" s="9" t="s">
        <v>75</v>
      </c>
      <c r="J44" s="9" t="s">
        <v>33</v>
      </c>
      <c r="K44" s="9">
        <v>43.69</v>
      </c>
      <c r="L44" s="2">
        <v>11</v>
      </c>
      <c r="M44" s="2">
        <v>21</v>
      </c>
      <c r="N44" s="2">
        <v>300.04000000000002</v>
      </c>
      <c r="P44" s="4">
        <f t="shared" si="50"/>
        <v>0</v>
      </c>
      <c r="Q44" s="4">
        <f t="shared" si="37"/>
        <v>0</v>
      </c>
      <c r="R44" s="4">
        <f t="shared" si="38"/>
        <v>0</v>
      </c>
      <c r="S44" s="1">
        <f t="shared" si="51"/>
        <v>10</v>
      </c>
      <c r="T44" s="1">
        <f t="shared" si="52"/>
        <v>10.199999999999999</v>
      </c>
      <c r="U44" s="1">
        <f t="shared" si="53"/>
        <v>20</v>
      </c>
      <c r="V44" s="1">
        <f t="shared" si="54"/>
        <v>20.2</v>
      </c>
      <c r="W44" s="1">
        <f t="shared" si="55"/>
        <v>0</v>
      </c>
      <c r="X44" s="1">
        <f t="shared" si="56"/>
        <v>1.9999999999999929</v>
      </c>
      <c r="Y44" s="1">
        <f t="shared" si="57"/>
        <v>5.2631578947368425</v>
      </c>
      <c r="Z44" s="1">
        <f t="shared" si="58"/>
        <v>6.3157894736842071</v>
      </c>
      <c r="AA44" s="1">
        <f t="shared" si="6"/>
        <v>300.03000000000003</v>
      </c>
      <c r="AC44" s="1">
        <f t="shared" si="59"/>
        <v>11</v>
      </c>
      <c r="AD44" s="1">
        <f t="shared" si="60"/>
        <v>21</v>
      </c>
      <c r="AE44" s="1">
        <f t="shared" si="49"/>
        <v>300.04000000000002</v>
      </c>
      <c r="AF44" s="4">
        <f t="shared" si="61"/>
        <v>10</v>
      </c>
      <c r="AG44" s="4">
        <f t="shared" si="62"/>
        <v>20</v>
      </c>
      <c r="AH44" s="4">
        <f t="shared" si="40"/>
        <v>300.01</v>
      </c>
      <c r="AI44" s="4">
        <f t="shared" si="63"/>
        <v>10</v>
      </c>
      <c r="AJ44" s="4">
        <f t="shared" si="64"/>
        <v>20</v>
      </c>
      <c r="AK44" s="4">
        <f t="shared" si="41"/>
        <v>300.04000000000002</v>
      </c>
      <c r="AL44" s="4">
        <f t="shared" si="65"/>
        <v>11</v>
      </c>
      <c r="AM44" s="4">
        <f t="shared" si="66"/>
        <v>21</v>
      </c>
      <c r="AN44" s="4">
        <f t="shared" si="42"/>
        <v>300.02999999999997</v>
      </c>
      <c r="AO44" s="4">
        <f t="shared" si="67"/>
        <v>10</v>
      </c>
      <c r="AP44" s="4">
        <f t="shared" si="68"/>
        <v>20</v>
      </c>
      <c r="AQ44" s="4">
        <f t="shared" si="43"/>
        <v>300.02999999999997</v>
      </c>
      <c r="AR44" s="4">
        <f t="shared" si="69"/>
        <v>10</v>
      </c>
      <c r="AS44" s="4">
        <f t="shared" si="70"/>
        <v>20</v>
      </c>
      <c r="AT44" s="4">
        <f t="shared" si="44"/>
        <v>300.04000000000002</v>
      </c>
      <c r="AU44" s="4">
        <f t="shared" si="71"/>
        <v>10</v>
      </c>
      <c r="AV44" s="4">
        <f t="shared" si="72"/>
        <v>20</v>
      </c>
      <c r="AW44" s="4">
        <f t="shared" si="45"/>
        <v>300.02999999999997</v>
      </c>
      <c r="AX44" s="4">
        <f t="shared" si="73"/>
        <v>10</v>
      </c>
      <c r="AY44" s="4">
        <f t="shared" si="74"/>
        <v>20</v>
      </c>
      <c r="AZ44" s="4">
        <f t="shared" si="46"/>
        <v>300.02999999999997</v>
      </c>
      <c r="BA44" s="4">
        <f t="shared" si="75"/>
        <v>10</v>
      </c>
      <c r="BB44" s="4">
        <f t="shared" si="76"/>
        <v>20</v>
      </c>
      <c r="BC44" s="4">
        <f t="shared" si="47"/>
        <v>300.02</v>
      </c>
      <c r="BD44" s="4">
        <f t="shared" si="77"/>
        <v>10</v>
      </c>
      <c r="BE44" s="4">
        <f t="shared" si="78"/>
        <v>20</v>
      </c>
      <c r="BF44" s="4">
        <f t="shared" si="48"/>
        <v>300.02999999999997</v>
      </c>
    </row>
    <row r="45" spans="1:58" x14ac:dyDescent="0.25">
      <c r="A45" s="2" t="s">
        <v>11</v>
      </c>
      <c r="B45" s="2">
        <v>205</v>
      </c>
      <c r="C45" s="3">
        <v>1322</v>
      </c>
      <c r="D45" s="3">
        <v>9</v>
      </c>
      <c r="E45" s="3">
        <v>18</v>
      </c>
      <c r="F45" s="2">
        <v>1</v>
      </c>
      <c r="H45" s="9" t="s">
        <v>92</v>
      </c>
      <c r="I45" s="9" t="s">
        <v>76</v>
      </c>
      <c r="J45" s="9" t="s">
        <v>33</v>
      </c>
      <c r="K45" s="9">
        <v>40.39</v>
      </c>
      <c r="L45" s="2">
        <v>10</v>
      </c>
      <c r="M45" s="2">
        <v>20</v>
      </c>
      <c r="N45" s="2">
        <v>300.01</v>
      </c>
      <c r="P45" s="4">
        <f t="shared" si="50"/>
        <v>0</v>
      </c>
      <c r="Q45" s="4">
        <f t="shared" si="37"/>
        <v>0</v>
      </c>
      <c r="R45" s="4">
        <f t="shared" si="38"/>
        <v>0</v>
      </c>
      <c r="S45" s="1">
        <f t="shared" si="51"/>
        <v>10</v>
      </c>
      <c r="T45" s="1">
        <f t="shared" si="52"/>
        <v>10</v>
      </c>
      <c r="U45" s="1">
        <f t="shared" si="53"/>
        <v>19</v>
      </c>
      <c r="V45" s="1">
        <f t="shared" si="54"/>
        <v>19.899999999999999</v>
      </c>
      <c r="W45" s="1">
        <f t="shared" si="55"/>
        <v>11.111111111111111</v>
      </c>
      <c r="X45" s="1">
        <f t="shared" si="56"/>
        <v>11.111111111111111</v>
      </c>
      <c r="Y45" s="1">
        <f t="shared" si="57"/>
        <v>5.5555555555555554</v>
      </c>
      <c r="Z45" s="1">
        <f t="shared" si="58"/>
        <v>10.555555555555548</v>
      </c>
      <c r="AA45" s="1">
        <f t="shared" si="6"/>
        <v>300.017</v>
      </c>
      <c r="AC45" s="1">
        <f t="shared" si="59"/>
        <v>10</v>
      </c>
      <c r="AD45" s="1">
        <f t="shared" si="60"/>
        <v>20</v>
      </c>
      <c r="AE45" s="1">
        <f t="shared" si="49"/>
        <v>300.01</v>
      </c>
      <c r="AF45" s="4">
        <f t="shared" si="61"/>
        <v>10</v>
      </c>
      <c r="AG45" s="4">
        <f t="shared" si="62"/>
        <v>20</v>
      </c>
      <c r="AH45" s="4">
        <f t="shared" si="40"/>
        <v>300.04000000000002</v>
      </c>
      <c r="AI45" s="4">
        <f t="shared" si="63"/>
        <v>10</v>
      </c>
      <c r="AJ45" s="4">
        <f t="shared" si="64"/>
        <v>20</v>
      </c>
      <c r="AK45" s="4">
        <f t="shared" si="41"/>
        <v>300.01</v>
      </c>
      <c r="AL45" s="4">
        <f t="shared" si="65"/>
        <v>10</v>
      </c>
      <c r="AM45" s="4">
        <f t="shared" si="66"/>
        <v>19</v>
      </c>
      <c r="AN45" s="4">
        <f t="shared" si="42"/>
        <v>300.01</v>
      </c>
      <c r="AO45" s="4">
        <f t="shared" si="67"/>
        <v>10</v>
      </c>
      <c r="AP45" s="4">
        <f t="shared" si="68"/>
        <v>20</v>
      </c>
      <c r="AQ45" s="4">
        <f t="shared" si="43"/>
        <v>300.01</v>
      </c>
      <c r="AR45" s="4">
        <f t="shared" si="69"/>
        <v>10</v>
      </c>
      <c r="AS45" s="4">
        <f t="shared" si="70"/>
        <v>20</v>
      </c>
      <c r="AT45" s="4">
        <f t="shared" si="44"/>
        <v>300.04000000000002</v>
      </c>
      <c r="AU45" s="4">
        <f t="shared" si="71"/>
        <v>10</v>
      </c>
      <c r="AV45" s="4">
        <f t="shared" si="72"/>
        <v>20</v>
      </c>
      <c r="AW45" s="4">
        <f t="shared" si="45"/>
        <v>300.02999999999997</v>
      </c>
      <c r="AX45" s="4">
        <f t="shared" si="73"/>
        <v>10</v>
      </c>
      <c r="AY45" s="4">
        <f t="shared" si="74"/>
        <v>20</v>
      </c>
      <c r="AZ45" s="4">
        <f t="shared" si="46"/>
        <v>300</v>
      </c>
      <c r="BA45" s="4">
        <f t="shared" si="75"/>
        <v>10</v>
      </c>
      <c r="BB45" s="4">
        <f t="shared" si="76"/>
        <v>20</v>
      </c>
      <c r="BC45" s="4">
        <f t="shared" si="47"/>
        <v>300.01</v>
      </c>
      <c r="BD45" s="4">
        <f t="shared" si="77"/>
        <v>10</v>
      </c>
      <c r="BE45" s="4">
        <f t="shared" si="78"/>
        <v>20</v>
      </c>
      <c r="BF45" s="4">
        <f t="shared" si="48"/>
        <v>300.01</v>
      </c>
    </row>
    <row r="46" spans="1:58" x14ac:dyDescent="0.25">
      <c r="A46" s="2" t="s">
        <v>11</v>
      </c>
      <c r="B46" s="2">
        <v>205</v>
      </c>
      <c r="C46" s="3">
        <v>1455</v>
      </c>
      <c r="D46" s="3">
        <v>9</v>
      </c>
      <c r="E46" s="3">
        <v>17</v>
      </c>
      <c r="F46" s="2">
        <v>1</v>
      </c>
      <c r="H46" s="9" t="s">
        <v>92</v>
      </c>
      <c r="I46" s="9" t="s">
        <v>77</v>
      </c>
      <c r="J46" s="9" t="s">
        <v>33</v>
      </c>
      <c r="K46" s="9">
        <v>36.32</v>
      </c>
      <c r="L46" s="2">
        <v>9</v>
      </c>
      <c r="M46" s="2">
        <v>18</v>
      </c>
      <c r="N46" s="2">
        <v>300.04000000000002</v>
      </c>
      <c r="P46" s="4">
        <f t="shared" si="50"/>
        <v>0</v>
      </c>
      <c r="Q46" s="4">
        <f t="shared" si="37"/>
        <v>0</v>
      </c>
      <c r="R46" s="4">
        <f t="shared" si="38"/>
        <v>0</v>
      </c>
      <c r="S46" s="1">
        <f t="shared" si="51"/>
        <v>9</v>
      </c>
      <c r="T46" s="1">
        <f t="shared" si="52"/>
        <v>9</v>
      </c>
      <c r="U46" s="1">
        <f t="shared" si="53"/>
        <v>18</v>
      </c>
      <c r="V46" s="1">
        <f t="shared" si="54"/>
        <v>18</v>
      </c>
      <c r="W46" s="1">
        <f t="shared" si="55"/>
        <v>0</v>
      </c>
      <c r="X46" s="1">
        <f t="shared" si="56"/>
        <v>0</v>
      </c>
      <c r="Y46" s="1">
        <f t="shared" si="57"/>
        <v>5.882352941176471</v>
      </c>
      <c r="Z46" s="1">
        <f t="shared" si="58"/>
        <v>5.882352941176471</v>
      </c>
      <c r="AA46" s="1">
        <f t="shared" si="6"/>
        <v>300.03500000000003</v>
      </c>
      <c r="AC46" s="1">
        <f t="shared" si="59"/>
        <v>9</v>
      </c>
      <c r="AD46" s="1">
        <f t="shared" si="60"/>
        <v>18</v>
      </c>
      <c r="AE46" s="1">
        <f t="shared" si="49"/>
        <v>300.04000000000002</v>
      </c>
      <c r="AF46" s="4">
        <f t="shared" si="61"/>
        <v>9</v>
      </c>
      <c r="AG46" s="4">
        <f t="shared" si="62"/>
        <v>18</v>
      </c>
      <c r="AH46" s="4">
        <f t="shared" si="40"/>
        <v>300.04000000000002</v>
      </c>
      <c r="AI46" s="4">
        <f t="shared" si="63"/>
        <v>9</v>
      </c>
      <c r="AJ46" s="4">
        <f t="shared" si="64"/>
        <v>18</v>
      </c>
      <c r="AK46" s="4">
        <f t="shared" si="41"/>
        <v>300.04000000000002</v>
      </c>
      <c r="AL46" s="4">
        <f t="shared" si="65"/>
        <v>9</v>
      </c>
      <c r="AM46" s="4">
        <f t="shared" si="66"/>
        <v>18</v>
      </c>
      <c r="AN46" s="4">
        <f t="shared" si="42"/>
        <v>300.02</v>
      </c>
      <c r="AO46" s="4">
        <f t="shared" si="67"/>
        <v>9</v>
      </c>
      <c r="AP46" s="4">
        <f t="shared" si="68"/>
        <v>18</v>
      </c>
      <c r="AQ46" s="4">
        <f t="shared" si="43"/>
        <v>300.02</v>
      </c>
      <c r="AR46" s="4">
        <f t="shared" si="69"/>
        <v>9</v>
      </c>
      <c r="AS46" s="4">
        <f t="shared" si="70"/>
        <v>18</v>
      </c>
      <c r="AT46" s="4">
        <f t="shared" si="44"/>
        <v>300.04000000000002</v>
      </c>
      <c r="AU46" s="4">
        <f t="shared" si="71"/>
        <v>9</v>
      </c>
      <c r="AV46" s="4">
        <f t="shared" si="72"/>
        <v>18</v>
      </c>
      <c r="AW46" s="4">
        <f t="shared" si="45"/>
        <v>300.04000000000002</v>
      </c>
      <c r="AX46" s="4">
        <f t="shared" si="73"/>
        <v>9</v>
      </c>
      <c r="AY46" s="4">
        <f t="shared" si="74"/>
        <v>18</v>
      </c>
      <c r="AZ46" s="4">
        <f t="shared" si="46"/>
        <v>300.02999999999997</v>
      </c>
      <c r="BA46" s="4">
        <f t="shared" si="75"/>
        <v>9</v>
      </c>
      <c r="BB46" s="4">
        <f t="shared" si="76"/>
        <v>18</v>
      </c>
      <c r="BC46" s="4">
        <f t="shared" si="47"/>
        <v>300.05</v>
      </c>
      <c r="BD46" s="4">
        <f t="shared" si="77"/>
        <v>9</v>
      </c>
      <c r="BE46" s="4">
        <f t="shared" si="78"/>
        <v>18</v>
      </c>
      <c r="BF46" s="4">
        <f t="shared" si="48"/>
        <v>300.02999999999997</v>
      </c>
    </row>
    <row r="47" spans="1:58" x14ac:dyDescent="0.25">
      <c r="A47" s="2" t="s">
        <v>11</v>
      </c>
      <c r="B47" s="2">
        <v>205</v>
      </c>
      <c r="C47" s="3">
        <v>1510</v>
      </c>
      <c r="D47" s="3">
        <v>8</v>
      </c>
      <c r="E47" s="3">
        <v>16</v>
      </c>
      <c r="F47" s="2">
        <v>1</v>
      </c>
      <c r="H47" s="9" t="s">
        <v>92</v>
      </c>
      <c r="I47" s="9" t="s">
        <v>78</v>
      </c>
      <c r="J47" s="9" t="s">
        <v>33</v>
      </c>
      <c r="K47" s="9">
        <v>36.299999999999997</v>
      </c>
      <c r="L47" s="2">
        <v>9</v>
      </c>
      <c r="M47" s="2">
        <v>18</v>
      </c>
      <c r="N47" s="2">
        <v>300.04000000000002</v>
      </c>
      <c r="P47" s="4">
        <f t="shared" si="50"/>
        <v>0</v>
      </c>
      <c r="Q47" s="4">
        <f t="shared" si="37"/>
        <v>0</v>
      </c>
      <c r="R47" s="4">
        <f t="shared" si="38"/>
        <v>0</v>
      </c>
      <c r="S47" s="1">
        <f t="shared" si="51"/>
        <v>9</v>
      </c>
      <c r="T47" s="1">
        <f t="shared" si="52"/>
        <v>9</v>
      </c>
      <c r="U47" s="1">
        <f t="shared" si="53"/>
        <v>17</v>
      </c>
      <c r="V47" s="1">
        <f t="shared" si="54"/>
        <v>17.3</v>
      </c>
      <c r="W47" s="1">
        <f t="shared" si="55"/>
        <v>12.5</v>
      </c>
      <c r="X47" s="1">
        <f t="shared" si="56"/>
        <v>12.5</v>
      </c>
      <c r="Y47" s="1">
        <f t="shared" si="57"/>
        <v>6.25</v>
      </c>
      <c r="Z47" s="1">
        <f t="shared" si="58"/>
        <v>8.1250000000000036</v>
      </c>
      <c r="AA47" s="1">
        <f t="shared" si="6"/>
        <v>300.017</v>
      </c>
      <c r="AC47" s="1">
        <f t="shared" si="59"/>
        <v>9</v>
      </c>
      <c r="AD47" s="1">
        <f t="shared" si="60"/>
        <v>18</v>
      </c>
      <c r="AE47" s="1">
        <f t="shared" si="49"/>
        <v>300.04000000000002</v>
      </c>
      <c r="AF47" s="4">
        <f t="shared" si="61"/>
        <v>9</v>
      </c>
      <c r="AG47" s="4">
        <f t="shared" si="62"/>
        <v>17</v>
      </c>
      <c r="AH47" s="4">
        <f t="shared" si="40"/>
        <v>300.01</v>
      </c>
      <c r="AI47" s="4">
        <f t="shared" si="63"/>
        <v>9</v>
      </c>
      <c r="AJ47" s="4">
        <f t="shared" si="64"/>
        <v>17</v>
      </c>
      <c r="AK47" s="4">
        <f t="shared" si="41"/>
        <v>300</v>
      </c>
      <c r="AL47" s="4">
        <f t="shared" si="65"/>
        <v>9</v>
      </c>
      <c r="AM47" s="4">
        <f t="shared" si="66"/>
        <v>17</v>
      </c>
      <c r="AN47" s="4">
        <f t="shared" si="42"/>
        <v>300.02</v>
      </c>
      <c r="AO47" s="4">
        <f t="shared" si="67"/>
        <v>9</v>
      </c>
      <c r="AP47" s="4">
        <f t="shared" si="68"/>
        <v>17</v>
      </c>
      <c r="AQ47" s="4">
        <f t="shared" si="43"/>
        <v>300</v>
      </c>
      <c r="AR47" s="4">
        <f t="shared" si="69"/>
        <v>9</v>
      </c>
      <c r="AS47" s="4">
        <f t="shared" si="70"/>
        <v>17</v>
      </c>
      <c r="AT47" s="4">
        <f t="shared" si="44"/>
        <v>300.02</v>
      </c>
      <c r="AU47" s="4">
        <f t="shared" si="71"/>
        <v>9</v>
      </c>
      <c r="AV47" s="4">
        <f t="shared" si="72"/>
        <v>17</v>
      </c>
      <c r="AW47" s="4">
        <f t="shared" si="45"/>
        <v>300</v>
      </c>
      <c r="AX47" s="4">
        <f t="shared" si="73"/>
        <v>9</v>
      </c>
      <c r="AY47" s="4">
        <f t="shared" si="74"/>
        <v>18</v>
      </c>
      <c r="AZ47" s="4">
        <f t="shared" si="46"/>
        <v>300.02</v>
      </c>
      <c r="BA47" s="4">
        <f t="shared" si="75"/>
        <v>9</v>
      </c>
      <c r="BB47" s="4">
        <f t="shared" si="76"/>
        <v>17</v>
      </c>
      <c r="BC47" s="4">
        <f t="shared" si="47"/>
        <v>300.04000000000002</v>
      </c>
      <c r="BD47" s="4">
        <f t="shared" si="77"/>
        <v>9</v>
      </c>
      <c r="BE47" s="4">
        <f t="shared" si="78"/>
        <v>18</v>
      </c>
      <c r="BF47" s="4">
        <f t="shared" si="48"/>
        <v>300.02</v>
      </c>
    </row>
    <row r="48" spans="1:58" x14ac:dyDescent="0.25">
      <c r="A48" s="2" t="s">
        <v>11</v>
      </c>
      <c r="B48" s="2">
        <v>205</v>
      </c>
      <c r="C48" s="3">
        <v>1650</v>
      </c>
      <c r="D48" s="3">
        <v>8</v>
      </c>
      <c r="E48" s="3">
        <v>15</v>
      </c>
      <c r="F48" s="2">
        <v>1</v>
      </c>
      <c r="H48" s="9" t="s">
        <v>92</v>
      </c>
      <c r="I48" s="9" t="s">
        <v>79</v>
      </c>
      <c r="J48" s="9" t="s">
        <v>33</v>
      </c>
      <c r="K48" s="9">
        <v>32.32</v>
      </c>
      <c r="L48" s="2">
        <v>8</v>
      </c>
      <c r="M48" s="2">
        <v>16</v>
      </c>
      <c r="N48" s="2">
        <v>300.02999999999997</v>
      </c>
      <c r="P48" s="4">
        <f t="shared" si="50"/>
        <v>0</v>
      </c>
      <c r="Q48" s="4">
        <f t="shared" si="37"/>
        <v>0</v>
      </c>
      <c r="R48" s="4">
        <f t="shared" si="38"/>
        <v>0</v>
      </c>
      <c r="S48" s="1">
        <f t="shared" si="51"/>
        <v>8</v>
      </c>
      <c r="T48" s="1">
        <f t="shared" si="52"/>
        <v>8</v>
      </c>
      <c r="U48" s="1">
        <f t="shared" si="53"/>
        <v>16</v>
      </c>
      <c r="V48" s="1">
        <f t="shared" si="54"/>
        <v>16</v>
      </c>
      <c r="W48" s="1">
        <f t="shared" si="55"/>
        <v>0</v>
      </c>
      <c r="X48" s="1">
        <f t="shared" si="56"/>
        <v>0</v>
      </c>
      <c r="Y48" s="1">
        <f t="shared" si="57"/>
        <v>6.666666666666667</v>
      </c>
      <c r="Z48" s="1">
        <f t="shared" si="58"/>
        <v>6.666666666666667</v>
      </c>
      <c r="AA48" s="1">
        <f t="shared" si="6"/>
        <v>300.024</v>
      </c>
      <c r="AC48" s="1">
        <f t="shared" si="59"/>
        <v>8</v>
      </c>
      <c r="AD48" s="1">
        <f t="shared" si="60"/>
        <v>16</v>
      </c>
      <c r="AE48" s="1">
        <f t="shared" si="49"/>
        <v>300.02999999999997</v>
      </c>
      <c r="AF48" s="4">
        <f t="shared" si="61"/>
        <v>8</v>
      </c>
      <c r="AG48" s="4">
        <f t="shared" si="62"/>
        <v>16</v>
      </c>
      <c r="AH48" s="4">
        <f t="shared" si="40"/>
        <v>300.02999999999997</v>
      </c>
      <c r="AI48" s="4">
        <f t="shared" si="63"/>
        <v>8</v>
      </c>
      <c r="AJ48" s="4">
        <f t="shared" si="64"/>
        <v>16</v>
      </c>
      <c r="AK48" s="4">
        <f t="shared" si="41"/>
        <v>300.04000000000002</v>
      </c>
      <c r="AL48" s="4">
        <f t="shared" si="65"/>
        <v>8</v>
      </c>
      <c r="AM48" s="4">
        <f t="shared" si="66"/>
        <v>16</v>
      </c>
      <c r="AN48" s="4">
        <f t="shared" si="42"/>
        <v>300</v>
      </c>
      <c r="AO48" s="4">
        <f t="shared" si="67"/>
        <v>8</v>
      </c>
      <c r="AP48" s="4">
        <f t="shared" si="68"/>
        <v>16</v>
      </c>
      <c r="AQ48" s="4">
        <f t="shared" si="43"/>
        <v>300.02</v>
      </c>
      <c r="AR48" s="4">
        <f t="shared" si="69"/>
        <v>8</v>
      </c>
      <c r="AS48" s="4">
        <f t="shared" si="70"/>
        <v>16</v>
      </c>
      <c r="AT48" s="4">
        <f t="shared" si="44"/>
        <v>300.02999999999997</v>
      </c>
      <c r="AU48" s="4">
        <f t="shared" si="71"/>
        <v>8</v>
      </c>
      <c r="AV48" s="4">
        <f t="shared" si="72"/>
        <v>16</v>
      </c>
      <c r="AW48" s="4">
        <f t="shared" si="45"/>
        <v>300.01</v>
      </c>
      <c r="AX48" s="4">
        <f t="shared" si="73"/>
        <v>8</v>
      </c>
      <c r="AY48" s="4">
        <f t="shared" si="74"/>
        <v>16</v>
      </c>
      <c r="AZ48" s="4">
        <f t="shared" si="46"/>
        <v>300.02999999999997</v>
      </c>
      <c r="BA48" s="4">
        <f t="shared" si="75"/>
        <v>8</v>
      </c>
      <c r="BB48" s="4">
        <f t="shared" si="76"/>
        <v>16</v>
      </c>
      <c r="BC48" s="4">
        <f t="shared" si="47"/>
        <v>300.01</v>
      </c>
      <c r="BD48" s="4">
        <f t="shared" si="77"/>
        <v>8</v>
      </c>
      <c r="BE48" s="4">
        <f t="shared" si="78"/>
        <v>16</v>
      </c>
      <c r="BF48" s="4">
        <f t="shared" si="48"/>
        <v>300.04000000000002</v>
      </c>
    </row>
    <row r="49" spans="1:58" x14ac:dyDescent="0.25">
      <c r="A49" s="2" t="s">
        <v>11</v>
      </c>
      <c r="B49" s="1">
        <v>205</v>
      </c>
      <c r="C49" s="1">
        <v>1699</v>
      </c>
      <c r="D49" s="1">
        <v>7</v>
      </c>
      <c r="E49" s="1">
        <v>14</v>
      </c>
      <c r="F49" s="2">
        <v>1</v>
      </c>
      <c r="H49" s="9" t="s">
        <v>92</v>
      </c>
      <c r="I49" s="9" t="s">
        <v>80</v>
      </c>
      <c r="J49" s="9" t="s">
        <v>33</v>
      </c>
      <c r="K49" s="9">
        <v>32.369999999999997</v>
      </c>
      <c r="L49" s="2">
        <v>8</v>
      </c>
      <c r="M49" s="2">
        <v>16</v>
      </c>
      <c r="N49" s="2">
        <v>300.04000000000002</v>
      </c>
      <c r="P49" s="4">
        <f t="shared" si="50"/>
        <v>0</v>
      </c>
      <c r="Q49" s="4">
        <f t="shared" si="37"/>
        <v>0</v>
      </c>
      <c r="R49" s="4">
        <f t="shared" si="38"/>
        <v>0</v>
      </c>
      <c r="S49" s="1">
        <f t="shared" si="51"/>
        <v>8</v>
      </c>
      <c r="T49" s="1">
        <f t="shared" si="52"/>
        <v>8</v>
      </c>
      <c r="U49" s="1">
        <f t="shared" si="53"/>
        <v>16</v>
      </c>
      <c r="V49" s="1">
        <f t="shared" si="54"/>
        <v>16</v>
      </c>
      <c r="W49" s="1">
        <f t="shared" si="55"/>
        <v>14.285714285714286</v>
      </c>
      <c r="X49" s="1">
        <f t="shared" si="56"/>
        <v>14.285714285714286</v>
      </c>
      <c r="Y49" s="1">
        <f t="shared" si="57"/>
        <v>14.285714285714286</v>
      </c>
      <c r="Z49" s="1">
        <f t="shared" si="58"/>
        <v>14.285714285714286</v>
      </c>
      <c r="AA49" s="1">
        <f t="shared" si="6"/>
        <v>300.03699999999998</v>
      </c>
      <c r="AC49" s="1">
        <f t="shared" si="59"/>
        <v>8</v>
      </c>
      <c r="AD49" s="1">
        <f t="shared" si="60"/>
        <v>16</v>
      </c>
      <c r="AE49" s="1">
        <f t="shared" si="49"/>
        <v>300.04000000000002</v>
      </c>
      <c r="AF49" s="4">
        <f t="shared" si="61"/>
        <v>8</v>
      </c>
      <c r="AG49" s="4">
        <f t="shared" si="62"/>
        <v>16</v>
      </c>
      <c r="AH49" s="4">
        <f t="shared" si="40"/>
        <v>300</v>
      </c>
      <c r="AI49" s="4">
        <f t="shared" si="63"/>
        <v>8</v>
      </c>
      <c r="AJ49" s="4">
        <f t="shared" si="64"/>
        <v>16</v>
      </c>
      <c r="AK49" s="4">
        <f t="shared" si="41"/>
        <v>300.05</v>
      </c>
      <c r="AL49" s="4">
        <f t="shared" si="65"/>
        <v>8</v>
      </c>
      <c r="AM49" s="4">
        <f t="shared" si="66"/>
        <v>16</v>
      </c>
      <c r="AN49" s="4">
        <f t="shared" si="42"/>
        <v>300.06</v>
      </c>
      <c r="AO49" s="4">
        <f t="shared" si="67"/>
        <v>8</v>
      </c>
      <c r="AP49" s="4">
        <f t="shared" si="68"/>
        <v>16</v>
      </c>
      <c r="AQ49" s="4">
        <f t="shared" si="43"/>
        <v>300.04000000000002</v>
      </c>
      <c r="AR49" s="4">
        <f t="shared" si="69"/>
        <v>8</v>
      </c>
      <c r="AS49" s="4">
        <f t="shared" si="70"/>
        <v>16</v>
      </c>
      <c r="AT49" s="4">
        <f t="shared" si="44"/>
        <v>300.02999999999997</v>
      </c>
      <c r="AU49" s="4">
        <f t="shared" si="71"/>
        <v>8</v>
      </c>
      <c r="AV49" s="4">
        <f t="shared" si="72"/>
        <v>16</v>
      </c>
      <c r="AW49" s="4">
        <f t="shared" si="45"/>
        <v>300.05</v>
      </c>
      <c r="AX49" s="4">
        <f t="shared" si="73"/>
        <v>8</v>
      </c>
      <c r="AY49" s="4">
        <f t="shared" si="74"/>
        <v>16</v>
      </c>
      <c r="AZ49" s="4">
        <f t="shared" si="46"/>
        <v>300.02</v>
      </c>
      <c r="BA49" s="4">
        <f t="shared" si="75"/>
        <v>8</v>
      </c>
      <c r="BB49" s="4">
        <f t="shared" si="76"/>
        <v>16</v>
      </c>
      <c r="BC49" s="4">
        <f t="shared" si="47"/>
        <v>300.02999999999997</v>
      </c>
      <c r="BD49" s="4">
        <f t="shared" si="77"/>
        <v>8</v>
      </c>
      <c r="BE49" s="4">
        <f t="shared" si="78"/>
        <v>16</v>
      </c>
      <c r="BF49" s="4">
        <f t="shared" si="48"/>
        <v>300.05</v>
      </c>
    </row>
    <row r="50" spans="1:58" x14ac:dyDescent="0.25">
      <c r="A50" s="2" t="s">
        <v>11</v>
      </c>
      <c r="B50" s="1">
        <v>205</v>
      </c>
      <c r="C50" s="1">
        <v>1888</v>
      </c>
      <c r="D50" s="1">
        <v>7</v>
      </c>
      <c r="E50" s="1">
        <v>13</v>
      </c>
      <c r="F50" s="2">
        <v>1</v>
      </c>
      <c r="H50" s="9" t="s">
        <v>92</v>
      </c>
      <c r="I50" s="9" t="s">
        <v>81</v>
      </c>
      <c r="J50" s="9" t="s">
        <v>33</v>
      </c>
      <c r="K50" s="9">
        <v>31</v>
      </c>
      <c r="L50" s="2">
        <v>8</v>
      </c>
      <c r="M50" s="2">
        <v>14</v>
      </c>
      <c r="N50" s="2">
        <v>300</v>
      </c>
      <c r="P50" s="4">
        <f t="shared" si="50"/>
        <v>0</v>
      </c>
      <c r="Q50" s="4">
        <f t="shared" si="37"/>
        <v>0</v>
      </c>
      <c r="R50" s="4">
        <f t="shared" si="38"/>
        <v>0</v>
      </c>
      <c r="S50" s="1">
        <f t="shared" si="51"/>
        <v>7</v>
      </c>
      <c r="T50" s="1">
        <f t="shared" si="52"/>
        <v>7.4</v>
      </c>
      <c r="U50" s="1">
        <f t="shared" si="53"/>
        <v>14</v>
      </c>
      <c r="V50" s="1">
        <f t="shared" si="54"/>
        <v>14.1</v>
      </c>
      <c r="W50" s="1">
        <f t="shared" si="55"/>
        <v>0</v>
      </c>
      <c r="X50" s="1">
        <f t="shared" si="56"/>
        <v>5.7142857142857197</v>
      </c>
      <c r="Y50" s="1">
        <f t="shared" si="57"/>
        <v>7.6923076923076925</v>
      </c>
      <c r="Z50" s="1">
        <f t="shared" si="58"/>
        <v>8.4615384615384599</v>
      </c>
      <c r="AA50" s="1">
        <f t="shared" si="6"/>
        <v>300.01100000000008</v>
      </c>
      <c r="AC50" s="1">
        <f t="shared" si="59"/>
        <v>8</v>
      </c>
      <c r="AD50" s="1">
        <f t="shared" si="60"/>
        <v>14</v>
      </c>
      <c r="AE50" s="1">
        <f t="shared" si="49"/>
        <v>300</v>
      </c>
      <c r="AF50" s="4">
        <f t="shared" si="61"/>
        <v>7</v>
      </c>
      <c r="AG50" s="4">
        <f t="shared" si="62"/>
        <v>14</v>
      </c>
      <c r="AH50" s="4">
        <f t="shared" si="40"/>
        <v>300</v>
      </c>
      <c r="AI50" s="4">
        <f t="shared" si="63"/>
        <v>8</v>
      </c>
      <c r="AJ50" s="4">
        <f t="shared" si="64"/>
        <v>14</v>
      </c>
      <c r="AK50" s="4">
        <f t="shared" si="41"/>
        <v>300</v>
      </c>
      <c r="AL50" s="4">
        <f t="shared" si="65"/>
        <v>8</v>
      </c>
      <c r="AM50" s="4">
        <f t="shared" si="66"/>
        <v>14</v>
      </c>
      <c r="AN50" s="4">
        <f t="shared" si="42"/>
        <v>300.01</v>
      </c>
      <c r="AO50" s="4">
        <f t="shared" si="67"/>
        <v>7</v>
      </c>
      <c r="AP50" s="4">
        <f t="shared" si="68"/>
        <v>14</v>
      </c>
      <c r="AQ50" s="4">
        <f t="shared" si="43"/>
        <v>300.01</v>
      </c>
      <c r="AR50" s="4">
        <f t="shared" si="69"/>
        <v>8</v>
      </c>
      <c r="AS50" s="4">
        <f t="shared" si="70"/>
        <v>15</v>
      </c>
      <c r="AT50" s="4">
        <f t="shared" si="44"/>
        <v>300.02999999999997</v>
      </c>
      <c r="AU50" s="4">
        <f t="shared" si="71"/>
        <v>7</v>
      </c>
      <c r="AV50" s="4">
        <f t="shared" si="72"/>
        <v>14</v>
      </c>
      <c r="AW50" s="4">
        <f t="shared" si="45"/>
        <v>300</v>
      </c>
      <c r="AX50" s="4">
        <f t="shared" si="73"/>
        <v>7</v>
      </c>
      <c r="AY50" s="4">
        <f t="shared" si="74"/>
        <v>14</v>
      </c>
      <c r="AZ50" s="4">
        <f t="shared" si="46"/>
        <v>300.01</v>
      </c>
      <c r="BA50" s="4">
        <f t="shared" si="75"/>
        <v>7</v>
      </c>
      <c r="BB50" s="4">
        <f t="shared" si="76"/>
        <v>14</v>
      </c>
      <c r="BC50" s="4">
        <f t="shared" si="47"/>
        <v>300.01</v>
      </c>
      <c r="BD50" s="4">
        <f t="shared" si="77"/>
        <v>7</v>
      </c>
      <c r="BE50" s="4">
        <f t="shared" si="78"/>
        <v>14</v>
      </c>
      <c r="BF50" s="4">
        <f t="shared" si="48"/>
        <v>300.04000000000002</v>
      </c>
    </row>
    <row r="51" spans="1:58" x14ac:dyDescent="0.25">
      <c r="A51" s="2" t="s">
        <v>11</v>
      </c>
      <c r="B51" s="1">
        <v>205</v>
      </c>
      <c r="C51" s="1">
        <v>1920</v>
      </c>
      <c r="D51" s="1">
        <v>7</v>
      </c>
      <c r="E51" s="1">
        <v>13</v>
      </c>
      <c r="F51" s="2">
        <v>1</v>
      </c>
      <c r="H51" s="9" t="s">
        <v>92</v>
      </c>
      <c r="I51" s="9" t="s">
        <v>82</v>
      </c>
      <c r="J51" s="9" t="s">
        <v>33</v>
      </c>
      <c r="K51" s="9">
        <v>28.29</v>
      </c>
      <c r="L51" s="2">
        <v>7</v>
      </c>
      <c r="M51" s="2">
        <v>14</v>
      </c>
      <c r="N51" s="2">
        <v>300.01</v>
      </c>
      <c r="P51" s="4">
        <f t="shared" si="50"/>
        <v>0</v>
      </c>
      <c r="Q51" s="4">
        <f t="shared" si="37"/>
        <v>0</v>
      </c>
      <c r="R51" s="4">
        <f t="shared" si="38"/>
        <v>0</v>
      </c>
      <c r="S51" s="1">
        <f t="shared" si="51"/>
        <v>7</v>
      </c>
      <c r="T51" s="1">
        <f t="shared" si="52"/>
        <v>7.1</v>
      </c>
      <c r="U51" s="1">
        <f t="shared" si="53"/>
        <v>14</v>
      </c>
      <c r="V51" s="1">
        <f t="shared" si="54"/>
        <v>14</v>
      </c>
      <c r="W51" s="1">
        <f t="shared" si="55"/>
        <v>0</v>
      </c>
      <c r="X51" s="1">
        <f t="shared" si="56"/>
        <v>1.4285714285714235</v>
      </c>
      <c r="Y51" s="1">
        <f t="shared" si="57"/>
        <v>7.6923076923076925</v>
      </c>
      <c r="Z51" s="1">
        <f t="shared" si="58"/>
        <v>7.6923076923076925</v>
      </c>
      <c r="AA51" s="1">
        <f t="shared" si="6"/>
        <v>300.01900000000006</v>
      </c>
      <c r="AC51" s="1">
        <f t="shared" si="59"/>
        <v>7</v>
      </c>
      <c r="AD51" s="1">
        <f t="shared" si="60"/>
        <v>14</v>
      </c>
      <c r="AE51" s="1">
        <f t="shared" si="49"/>
        <v>300.01</v>
      </c>
      <c r="AF51" s="4">
        <f t="shared" si="61"/>
        <v>7</v>
      </c>
      <c r="AG51" s="4">
        <f t="shared" si="62"/>
        <v>14</v>
      </c>
      <c r="AH51" s="4">
        <f t="shared" si="40"/>
        <v>300.04000000000002</v>
      </c>
      <c r="AI51" s="4">
        <f t="shared" si="63"/>
        <v>7</v>
      </c>
      <c r="AJ51" s="4">
        <f t="shared" si="64"/>
        <v>14</v>
      </c>
      <c r="AK51" s="4">
        <f t="shared" si="41"/>
        <v>300.01</v>
      </c>
      <c r="AL51" s="4">
        <f t="shared" si="65"/>
        <v>7</v>
      </c>
      <c r="AM51" s="4">
        <f t="shared" si="66"/>
        <v>14</v>
      </c>
      <c r="AN51" s="4">
        <f t="shared" si="42"/>
        <v>300.02</v>
      </c>
      <c r="AO51" s="4">
        <f t="shared" si="67"/>
        <v>7</v>
      </c>
      <c r="AP51" s="4">
        <f t="shared" si="68"/>
        <v>14</v>
      </c>
      <c r="AQ51" s="4">
        <f t="shared" si="43"/>
        <v>300.02</v>
      </c>
      <c r="AR51" s="4">
        <f t="shared" si="69"/>
        <v>7</v>
      </c>
      <c r="AS51" s="4">
        <f t="shared" si="70"/>
        <v>14</v>
      </c>
      <c r="AT51" s="4">
        <f t="shared" si="44"/>
        <v>300</v>
      </c>
      <c r="AU51" s="4">
        <f t="shared" si="71"/>
        <v>7</v>
      </c>
      <c r="AV51" s="4">
        <f t="shared" si="72"/>
        <v>14</v>
      </c>
      <c r="AW51" s="4">
        <f t="shared" si="45"/>
        <v>300.02999999999997</v>
      </c>
      <c r="AX51" s="4">
        <f t="shared" si="73"/>
        <v>7</v>
      </c>
      <c r="AY51" s="4">
        <f t="shared" si="74"/>
        <v>14</v>
      </c>
      <c r="AZ51" s="4">
        <f t="shared" si="46"/>
        <v>300.04000000000002</v>
      </c>
      <c r="BA51" s="4">
        <f t="shared" si="75"/>
        <v>7</v>
      </c>
      <c r="BB51" s="4">
        <f t="shared" si="76"/>
        <v>14</v>
      </c>
      <c r="BC51" s="4">
        <f t="shared" si="47"/>
        <v>300.01</v>
      </c>
      <c r="BD51" s="4">
        <f t="shared" si="77"/>
        <v>8</v>
      </c>
      <c r="BE51" s="4">
        <f t="shared" si="78"/>
        <v>14</v>
      </c>
      <c r="BF51" s="4">
        <f t="shared" si="48"/>
        <v>300.01</v>
      </c>
    </row>
    <row r="52" spans="1:58" x14ac:dyDescent="0.25">
      <c r="A52" s="2" t="s">
        <v>11</v>
      </c>
      <c r="B52" s="1">
        <v>205</v>
      </c>
      <c r="C52" s="1">
        <v>2077</v>
      </c>
      <c r="D52" s="1">
        <v>6</v>
      </c>
      <c r="E52" s="1">
        <v>12</v>
      </c>
      <c r="F52" s="2">
        <v>1</v>
      </c>
      <c r="H52" s="9" t="s">
        <v>92</v>
      </c>
      <c r="I52" s="9" t="s">
        <v>83</v>
      </c>
      <c r="J52" s="9" t="s">
        <v>33</v>
      </c>
      <c r="K52" s="9">
        <v>27.64</v>
      </c>
      <c r="L52" s="2">
        <v>7</v>
      </c>
      <c r="M52" s="2">
        <v>13</v>
      </c>
      <c r="N52" s="2">
        <v>300.02</v>
      </c>
      <c r="P52" s="4">
        <f t="shared" si="50"/>
        <v>0</v>
      </c>
      <c r="Q52" s="4">
        <f t="shared" si="37"/>
        <v>0</v>
      </c>
      <c r="R52" s="4">
        <f t="shared" si="38"/>
        <v>0</v>
      </c>
      <c r="S52" s="1">
        <f t="shared" si="51"/>
        <v>7</v>
      </c>
      <c r="T52" s="1">
        <f t="shared" si="52"/>
        <v>7</v>
      </c>
      <c r="U52" s="1">
        <f t="shared" si="53"/>
        <v>13</v>
      </c>
      <c r="V52" s="1">
        <f t="shared" si="54"/>
        <v>13.3</v>
      </c>
      <c r="W52" s="1">
        <f t="shared" si="55"/>
        <v>16.666666666666668</v>
      </c>
      <c r="X52" s="1">
        <f t="shared" si="56"/>
        <v>16.666666666666668</v>
      </c>
      <c r="Y52" s="1">
        <f t="shared" si="57"/>
        <v>8.3333333333333339</v>
      </c>
      <c r="Z52" s="1">
        <f t="shared" si="58"/>
        <v>10.833333333333337</v>
      </c>
      <c r="AA52" s="1">
        <f t="shared" si="6"/>
        <v>300.024</v>
      </c>
      <c r="AC52" s="1">
        <f t="shared" si="59"/>
        <v>7</v>
      </c>
      <c r="AD52" s="1">
        <f t="shared" si="60"/>
        <v>13</v>
      </c>
      <c r="AE52" s="1">
        <f t="shared" si="49"/>
        <v>300.02</v>
      </c>
      <c r="AF52" s="4">
        <f t="shared" si="61"/>
        <v>7</v>
      </c>
      <c r="AG52" s="4">
        <f t="shared" si="62"/>
        <v>13</v>
      </c>
      <c r="AH52" s="4">
        <f t="shared" si="40"/>
        <v>300.02</v>
      </c>
      <c r="AI52" s="4">
        <f t="shared" si="63"/>
        <v>7</v>
      </c>
      <c r="AJ52" s="4">
        <f t="shared" si="64"/>
        <v>13</v>
      </c>
      <c r="AK52" s="4">
        <f t="shared" si="41"/>
        <v>300.02999999999997</v>
      </c>
      <c r="AL52" s="4">
        <f t="shared" si="65"/>
        <v>7</v>
      </c>
      <c r="AM52" s="4">
        <f t="shared" si="66"/>
        <v>14</v>
      </c>
      <c r="AN52" s="4">
        <f t="shared" si="42"/>
        <v>300.04000000000002</v>
      </c>
      <c r="AO52" s="4">
        <f t="shared" si="67"/>
        <v>7</v>
      </c>
      <c r="AP52" s="4">
        <f t="shared" si="68"/>
        <v>13</v>
      </c>
      <c r="AQ52" s="4">
        <f t="shared" si="43"/>
        <v>300.02</v>
      </c>
      <c r="AR52" s="4">
        <f t="shared" si="69"/>
        <v>7</v>
      </c>
      <c r="AS52" s="4">
        <f t="shared" si="70"/>
        <v>13</v>
      </c>
      <c r="AT52" s="4">
        <f t="shared" si="44"/>
        <v>300</v>
      </c>
      <c r="AU52" s="4">
        <f t="shared" si="71"/>
        <v>7</v>
      </c>
      <c r="AV52" s="4">
        <f t="shared" si="72"/>
        <v>14</v>
      </c>
      <c r="AW52" s="4">
        <f t="shared" si="45"/>
        <v>300.02999999999997</v>
      </c>
      <c r="AX52" s="4">
        <f t="shared" si="73"/>
        <v>7</v>
      </c>
      <c r="AY52" s="4">
        <f t="shared" si="74"/>
        <v>13</v>
      </c>
      <c r="AZ52" s="4">
        <f t="shared" si="46"/>
        <v>300.05</v>
      </c>
      <c r="BA52" s="4">
        <f t="shared" si="75"/>
        <v>7</v>
      </c>
      <c r="BB52" s="4">
        <f t="shared" si="76"/>
        <v>13</v>
      </c>
      <c r="BC52" s="4">
        <f t="shared" si="47"/>
        <v>300.01</v>
      </c>
      <c r="BD52" s="4">
        <f t="shared" si="77"/>
        <v>7</v>
      </c>
      <c r="BE52" s="4">
        <f t="shared" si="78"/>
        <v>14</v>
      </c>
      <c r="BF52" s="4">
        <f t="shared" si="48"/>
        <v>300.02</v>
      </c>
    </row>
    <row r="53" spans="1:58" x14ac:dyDescent="0.25">
      <c r="A53" s="2" t="s">
        <v>11</v>
      </c>
      <c r="B53" s="1">
        <v>205</v>
      </c>
      <c r="C53" s="1">
        <v>2100</v>
      </c>
      <c r="D53" s="1">
        <v>6</v>
      </c>
      <c r="E53" s="1">
        <v>12</v>
      </c>
      <c r="F53" s="2">
        <v>1</v>
      </c>
      <c r="H53" s="9" t="s">
        <v>92</v>
      </c>
      <c r="I53" s="9" t="s">
        <v>84</v>
      </c>
      <c r="J53" s="9" t="s">
        <v>33</v>
      </c>
      <c r="K53" s="9">
        <v>27.45</v>
      </c>
      <c r="L53" s="2">
        <v>7</v>
      </c>
      <c r="M53" s="2">
        <v>13</v>
      </c>
      <c r="N53" s="2">
        <v>300.04000000000002</v>
      </c>
      <c r="P53" s="4">
        <f t="shared" si="50"/>
        <v>0</v>
      </c>
      <c r="Q53" s="4">
        <f t="shared" si="37"/>
        <v>0</v>
      </c>
      <c r="R53" s="4">
        <f t="shared" si="38"/>
        <v>0</v>
      </c>
      <c r="S53" s="1">
        <f t="shared" si="51"/>
        <v>7</v>
      </c>
      <c r="T53" s="1">
        <f t="shared" si="52"/>
        <v>7</v>
      </c>
      <c r="U53" s="1">
        <f t="shared" si="53"/>
        <v>13</v>
      </c>
      <c r="V53" s="1">
        <f t="shared" si="54"/>
        <v>13.1</v>
      </c>
      <c r="W53" s="1">
        <f t="shared" si="55"/>
        <v>16.666666666666668</v>
      </c>
      <c r="X53" s="1">
        <f t="shared" si="56"/>
        <v>16.666666666666668</v>
      </c>
      <c r="Y53" s="1">
        <f t="shared" si="57"/>
        <v>8.3333333333333339</v>
      </c>
      <c r="Z53" s="1">
        <f t="shared" si="58"/>
        <v>9.1666666666666643</v>
      </c>
      <c r="AA53" s="1">
        <f t="shared" si="6"/>
        <v>300.03399999999999</v>
      </c>
      <c r="AC53" s="1">
        <f t="shared" si="59"/>
        <v>7</v>
      </c>
      <c r="AD53" s="1">
        <f t="shared" si="60"/>
        <v>13</v>
      </c>
      <c r="AE53" s="1">
        <f t="shared" si="49"/>
        <v>300.04000000000002</v>
      </c>
      <c r="AF53" s="4">
        <f t="shared" si="61"/>
        <v>7</v>
      </c>
      <c r="AG53" s="4">
        <f t="shared" si="62"/>
        <v>13</v>
      </c>
      <c r="AH53" s="4">
        <f t="shared" si="40"/>
        <v>300.04000000000002</v>
      </c>
      <c r="AI53" s="4">
        <f t="shared" si="63"/>
        <v>7</v>
      </c>
      <c r="AJ53" s="4">
        <f t="shared" si="64"/>
        <v>13</v>
      </c>
      <c r="AK53" s="4">
        <f t="shared" si="41"/>
        <v>300.02999999999997</v>
      </c>
      <c r="AL53" s="4">
        <f t="shared" si="65"/>
        <v>7</v>
      </c>
      <c r="AM53" s="4">
        <f t="shared" si="66"/>
        <v>13</v>
      </c>
      <c r="AN53" s="4">
        <f t="shared" si="42"/>
        <v>300.05</v>
      </c>
      <c r="AO53" s="4">
        <f t="shared" si="67"/>
        <v>7</v>
      </c>
      <c r="AP53" s="4">
        <f t="shared" si="68"/>
        <v>13</v>
      </c>
      <c r="AQ53" s="4">
        <f t="shared" si="43"/>
        <v>300.02999999999997</v>
      </c>
      <c r="AR53" s="4">
        <f t="shared" si="69"/>
        <v>7</v>
      </c>
      <c r="AS53" s="4">
        <f t="shared" si="70"/>
        <v>14</v>
      </c>
      <c r="AT53" s="4">
        <f t="shared" si="44"/>
        <v>300.05</v>
      </c>
      <c r="AU53" s="4">
        <f t="shared" si="71"/>
        <v>7</v>
      </c>
      <c r="AV53" s="4">
        <f t="shared" si="72"/>
        <v>13</v>
      </c>
      <c r="AW53" s="4">
        <f t="shared" si="45"/>
        <v>300</v>
      </c>
      <c r="AX53" s="4">
        <f t="shared" si="73"/>
        <v>7</v>
      </c>
      <c r="AY53" s="4">
        <f t="shared" si="74"/>
        <v>13</v>
      </c>
      <c r="AZ53" s="4">
        <f t="shared" si="46"/>
        <v>300.05</v>
      </c>
      <c r="BA53" s="4">
        <f t="shared" si="75"/>
        <v>7</v>
      </c>
      <c r="BB53" s="4">
        <f t="shared" si="76"/>
        <v>13</v>
      </c>
      <c r="BC53" s="4">
        <f t="shared" si="47"/>
        <v>300.01</v>
      </c>
      <c r="BD53" s="4">
        <f t="shared" si="77"/>
        <v>7</v>
      </c>
      <c r="BE53" s="4">
        <f t="shared" si="78"/>
        <v>13</v>
      </c>
      <c r="BF53" s="4">
        <f t="shared" si="48"/>
        <v>300.04000000000002</v>
      </c>
    </row>
    <row r="54" spans="1:58" x14ac:dyDescent="0.25">
      <c r="A54" s="2" t="s">
        <v>11</v>
      </c>
      <c r="B54" s="1">
        <v>205</v>
      </c>
      <c r="C54" s="1">
        <v>2266</v>
      </c>
      <c r="D54" s="1">
        <v>6</v>
      </c>
      <c r="E54" s="1">
        <v>11</v>
      </c>
      <c r="F54" s="2">
        <v>1</v>
      </c>
      <c r="H54" s="9" t="s">
        <v>92</v>
      </c>
      <c r="I54" s="9" t="s">
        <v>85</v>
      </c>
      <c r="J54" s="9" t="s">
        <v>33</v>
      </c>
      <c r="K54" s="9">
        <v>24.26</v>
      </c>
      <c r="L54" s="2">
        <v>6</v>
      </c>
      <c r="M54" s="2">
        <v>12</v>
      </c>
      <c r="N54" s="2">
        <v>300.02999999999997</v>
      </c>
      <c r="P54" s="4">
        <f t="shared" si="50"/>
        <v>0</v>
      </c>
      <c r="Q54" s="4">
        <f t="shared" si="37"/>
        <v>0</v>
      </c>
      <c r="R54" s="4">
        <f t="shared" si="38"/>
        <v>0</v>
      </c>
      <c r="S54" s="1">
        <f t="shared" si="51"/>
        <v>6</v>
      </c>
      <c r="T54" s="1">
        <f t="shared" si="52"/>
        <v>6.1</v>
      </c>
      <c r="U54" s="1">
        <f t="shared" si="53"/>
        <v>12</v>
      </c>
      <c r="V54" s="1">
        <f t="shared" si="54"/>
        <v>12.1</v>
      </c>
      <c r="W54" s="1">
        <f t="shared" si="55"/>
        <v>0</v>
      </c>
      <c r="X54" s="1">
        <f t="shared" si="56"/>
        <v>1.6666666666666607</v>
      </c>
      <c r="Y54" s="1">
        <f t="shared" si="57"/>
        <v>9.0909090909090917</v>
      </c>
      <c r="Z54" s="1">
        <f t="shared" si="58"/>
        <v>9.9999999999999982</v>
      </c>
      <c r="AA54" s="1">
        <f t="shared" si="6"/>
        <v>300.02999999999992</v>
      </c>
      <c r="AC54" s="1">
        <f t="shared" si="59"/>
        <v>6</v>
      </c>
      <c r="AD54" s="1">
        <f t="shared" si="60"/>
        <v>12</v>
      </c>
      <c r="AE54" s="1">
        <f t="shared" si="49"/>
        <v>300.02999999999997</v>
      </c>
      <c r="AF54" s="4">
        <f t="shared" si="61"/>
        <v>6</v>
      </c>
      <c r="AG54" s="4">
        <f t="shared" si="62"/>
        <v>12</v>
      </c>
      <c r="AH54" s="4">
        <f t="shared" si="40"/>
        <v>300.04000000000002</v>
      </c>
      <c r="AI54" s="4">
        <f t="shared" si="63"/>
        <v>6</v>
      </c>
      <c r="AJ54" s="4">
        <f t="shared" si="64"/>
        <v>12</v>
      </c>
      <c r="AK54" s="4">
        <f t="shared" si="41"/>
        <v>300.04000000000002</v>
      </c>
      <c r="AL54" s="4">
        <f t="shared" si="65"/>
        <v>6</v>
      </c>
      <c r="AM54" s="4">
        <f t="shared" si="66"/>
        <v>12</v>
      </c>
      <c r="AN54" s="4">
        <f t="shared" si="42"/>
        <v>300.04000000000002</v>
      </c>
      <c r="AO54" s="4">
        <f t="shared" si="67"/>
        <v>6</v>
      </c>
      <c r="AP54" s="4">
        <f t="shared" si="68"/>
        <v>12</v>
      </c>
      <c r="AQ54" s="4">
        <f t="shared" si="43"/>
        <v>300.02</v>
      </c>
      <c r="AR54" s="4">
        <f t="shared" si="69"/>
        <v>6</v>
      </c>
      <c r="AS54" s="4">
        <f t="shared" si="70"/>
        <v>12</v>
      </c>
      <c r="AT54" s="4">
        <f t="shared" si="44"/>
        <v>300.05</v>
      </c>
      <c r="AU54" s="4">
        <f t="shared" si="71"/>
        <v>6</v>
      </c>
      <c r="AV54" s="4">
        <f t="shared" si="72"/>
        <v>12</v>
      </c>
      <c r="AW54" s="4">
        <f t="shared" si="45"/>
        <v>300.02</v>
      </c>
      <c r="AX54" s="4">
        <f t="shared" si="73"/>
        <v>7</v>
      </c>
      <c r="AY54" s="4">
        <f t="shared" si="74"/>
        <v>13</v>
      </c>
      <c r="AZ54" s="4">
        <f t="shared" si="46"/>
        <v>300</v>
      </c>
      <c r="BA54" s="4">
        <f t="shared" si="75"/>
        <v>6</v>
      </c>
      <c r="BB54" s="4">
        <f t="shared" si="76"/>
        <v>12</v>
      </c>
      <c r="BC54" s="4">
        <f t="shared" si="47"/>
        <v>300.02999999999997</v>
      </c>
      <c r="BD54" s="4">
        <f t="shared" si="77"/>
        <v>6</v>
      </c>
      <c r="BE54" s="4">
        <f t="shared" si="78"/>
        <v>12</v>
      </c>
      <c r="BF54" s="4">
        <f t="shared" si="48"/>
        <v>300.02999999999997</v>
      </c>
    </row>
    <row r="55" spans="1:58" x14ac:dyDescent="0.25">
      <c r="A55" s="2" t="s">
        <v>11</v>
      </c>
      <c r="B55" s="1">
        <v>205</v>
      </c>
      <c r="C55" s="1">
        <v>2300</v>
      </c>
      <c r="D55" s="1">
        <v>6</v>
      </c>
      <c r="E55" s="1">
        <v>11</v>
      </c>
      <c r="F55" s="2">
        <v>1</v>
      </c>
      <c r="H55" s="9" t="s">
        <v>92</v>
      </c>
      <c r="I55" s="9" t="s">
        <v>86</v>
      </c>
      <c r="J55" s="9" t="s">
        <v>33</v>
      </c>
      <c r="K55" s="9">
        <v>24.25</v>
      </c>
      <c r="L55" s="2">
        <v>6</v>
      </c>
      <c r="M55" s="2">
        <v>12</v>
      </c>
      <c r="N55" s="2">
        <v>300</v>
      </c>
      <c r="P55" s="4">
        <f t="shared" si="50"/>
        <v>0</v>
      </c>
      <c r="Q55" s="4">
        <f t="shared" si="37"/>
        <v>0</v>
      </c>
      <c r="R55" s="4">
        <f t="shared" si="38"/>
        <v>0</v>
      </c>
      <c r="S55" s="1">
        <f t="shared" si="51"/>
        <v>6</v>
      </c>
      <c r="T55" s="1">
        <f t="shared" si="52"/>
        <v>6.1</v>
      </c>
      <c r="U55" s="1">
        <f t="shared" si="53"/>
        <v>12</v>
      </c>
      <c r="V55" s="1">
        <f t="shared" si="54"/>
        <v>12</v>
      </c>
      <c r="W55" s="1">
        <f t="shared" si="55"/>
        <v>0</v>
      </c>
      <c r="X55" s="1">
        <f t="shared" si="56"/>
        <v>1.6666666666666607</v>
      </c>
      <c r="Y55" s="1">
        <f t="shared" si="57"/>
        <v>9.0909090909090917</v>
      </c>
      <c r="Z55" s="1">
        <f t="shared" si="58"/>
        <v>9.0909090909090917</v>
      </c>
      <c r="AA55" s="1">
        <f t="shared" si="6"/>
        <v>300.01499999999999</v>
      </c>
      <c r="AC55" s="1">
        <f t="shared" si="59"/>
        <v>6</v>
      </c>
      <c r="AD55" s="1">
        <f t="shared" si="60"/>
        <v>12</v>
      </c>
      <c r="AE55" s="1">
        <f t="shared" si="49"/>
        <v>300</v>
      </c>
      <c r="AF55" s="4">
        <f t="shared" si="61"/>
        <v>6</v>
      </c>
      <c r="AG55" s="4">
        <f t="shared" si="62"/>
        <v>12</v>
      </c>
      <c r="AH55" s="4">
        <f t="shared" si="40"/>
        <v>300.02999999999997</v>
      </c>
      <c r="AI55" s="4">
        <f t="shared" si="63"/>
        <v>6</v>
      </c>
      <c r="AJ55" s="4">
        <f t="shared" si="64"/>
        <v>12</v>
      </c>
      <c r="AK55" s="4">
        <f t="shared" si="41"/>
        <v>300.02</v>
      </c>
      <c r="AL55" s="4">
        <f t="shared" si="65"/>
        <v>6</v>
      </c>
      <c r="AM55" s="4">
        <f t="shared" si="66"/>
        <v>12</v>
      </c>
      <c r="AN55" s="4">
        <f t="shared" si="42"/>
        <v>300</v>
      </c>
      <c r="AO55" s="4">
        <f t="shared" si="67"/>
        <v>6</v>
      </c>
      <c r="AP55" s="4">
        <f t="shared" si="68"/>
        <v>12</v>
      </c>
      <c r="AQ55" s="4">
        <f t="shared" si="43"/>
        <v>300.02</v>
      </c>
      <c r="AR55" s="4">
        <f t="shared" si="69"/>
        <v>6</v>
      </c>
      <c r="AS55" s="4">
        <f t="shared" si="70"/>
        <v>12</v>
      </c>
      <c r="AT55" s="4">
        <f t="shared" si="44"/>
        <v>300.02999999999997</v>
      </c>
      <c r="AU55" s="4">
        <f t="shared" si="71"/>
        <v>6</v>
      </c>
      <c r="AV55" s="4">
        <f t="shared" si="72"/>
        <v>12</v>
      </c>
      <c r="AW55" s="4">
        <f t="shared" si="45"/>
        <v>300.04000000000002</v>
      </c>
      <c r="AX55" s="4">
        <f t="shared" si="73"/>
        <v>7</v>
      </c>
      <c r="AY55" s="4">
        <f t="shared" si="74"/>
        <v>12</v>
      </c>
      <c r="AZ55" s="4">
        <f t="shared" si="46"/>
        <v>300</v>
      </c>
      <c r="BA55" s="4">
        <f t="shared" si="75"/>
        <v>6</v>
      </c>
      <c r="BB55" s="4">
        <f t="shared" si="76"/>
        <v>12</v>
      </c>
      <c r="BC55" s="4">
        <f t="shared" si="47"/>
        <v>300.01</v>
      </c>
      <c r="BD55" s="4">
        <f t="shared" si="77"/>
        <v>6</v>
      </c>
      <c r="BE55" s="4">
        <f t="shared" si="78"/>
        <v>12</v>
      </c>
      <c r="BF55" s="4">
        <f t="shared" si="48"/>
        <v>300</v>
      </c>
    </row>
    <row r="56" spans="1:58" x14ac:dyDescent="0.25">
      <c r="A56" s="2" t="s">
        <v>11</v>
      </c>
      <c r="B56" s="1">
        <v>205</v>
      </c>
      <c r="C56" s="1">
        <v>2454</v>
      </c>
      <c r="D56" s="1">
        <v>5</v>
      </c>
      <c r="E56" s="1">
        <v>10</v>
      </c>
      <c r="F56" s="2">
        <v>1</v>
      </c>
      <c r="H56" s="9" t="s">
        <v>92</v>
      </c>
      <c r="I56" s="9" t="s">
        <v>87</v>
      </c>
      <c r="J56" s="9" t="s">
        <v>33</v>
      </c>
      <c r="K56" s="9">
        <v>24.4</v>
      </c>
      <c r="L56" s="2">
        <v>6</v>
      </c>
      <c r="M56" s="2">
        <v>12</v>
      </c>
      <c r="N56" s="2">
        <v>300.02999999999997</v>
      </c>
      <c r="P56" s="4">
        <f t="shared" si="50"/>
        <v>0</v>
      </c>
      <c r="Q56" s="4">
        <f t="shared" si="37"/>
        <v>0</v>
      </c>
      <c r="R56" s="4">
        <f t="shared" si="38"/>
        <v>0</v>
      </c>
      <c r="S56" s="1">
        <f t="shared" si="51"/>
        <v>6</v>
      </c>
      <c r="T56" s="1">
        <f t="shared" si="52"/>
        <v>6</v>
      </c>
      <c r="U56" s="1">
        <f t="shared" si="53"/>
        <v>12</v>
      </c>
      <c r="V56" s="1">
        <f t="shared" si="54"/>
        <v>12</v>
      </c>
      <c r="W56" s="1">
        <f t="shared" si="55"/>
        <v>20</v>
      </c>
      <c r="X56" s="1">
        <f t="shared" si="56"/>
        <v>20</v>
      </c>
      <c r="Y56" s="1">
        <f t="shared" si="57"/>
        <v>20</v>
      </c>
      <c r="Z56" s="1">
        <f t="shared" si="58"/>
        <v>20</v>
      </c>
      <c r="AA56" s="1">
        <f t="shared" si="6"/>
        <v>300.024</v>
      </c>
      <c r="AC56" s="1">
        <f t="shared" si="59"/>
        <v>6</v>
      </c>
      <c r="AD56" s="1">
        <f t="shared" si="60"/>
        <v>12</v>
      </c>
      <c r="AE56" s="1">
        <f t="shared" si="49"/>
        <v>300.02999999999997</v>
      </c>
      <c r="AF56" s="4">
        <f t="shared" si="61"/>
        <v>6</v>
      </c>
      <c r="AG56" s="4">
        <f t="shared" si="62"/>
        <v>12</v>
      </c>
      <c r="AH56" s="4">
        <f t="shared" si="40"/>
        <v>300.02</v>
      </c>
      <c r="AI56" s="4">
        <f t="shared" si="63"/>
        <v>6</v>
      </c>
      <c r="AJ56" s="4">
        <f t="shared" si="64"/>
        <v>12</v>
      </c>
      <c r="AK56" s="4">
        <f t="shared" si="41"/>
        <v>300.01</v>
      </c>
      <c r="AL56" s="4">
        <f t="shared" si="65"/>
        <v>6</v>
      </c>
      <c r="AM56" s="4">
        <f t="shared" si="66"/>
        <v>12</v>
      </c>
      <c r="AN56" s="4">
        <f t="shared" si="42"/>
        <v>300.02</v>
      </c>
      <c r="AO56" s="4">
        <f t="shared" si="67"/>
        <v>6</v>
      </c>
      <c r="AP56" s="4">
        <f t="shared" si="68"/>
        <v>12</v>
      </c>
      <c r="AQ56" s="4">
        <f t="shared" si="43"/>
        <v>300.02</v>
      </c>
      <c r="AR56" s="4">
        <f t="shared" si="69"/>
        <v>6</v>
      </c>
      <c r="AS56" s="4">
        <f t="shared" si="70"/>
        <v>12</v>
      </c>
      <c r="AT56" s="4">
        <f t="shared" si="44"/>
        <v>300.02999999999997</v>
      </c>
      <c r="AU56" s="4">
        <f t="shared" si="71"/>
        <v>6</v>
      </c>
      <c r="AV56" s="4">
        <f t="shared" si="72"/>
        <v>12</v>
      </c>
      <c r="AW56" s="4">
        <f t="shared" si="45"/>
        <v>300.04000000000002</v>
      </c>
      <c r="AX56" s="4">
        <f t="shared" si="73"/>
        <v>6</v>
      </c>
      <c r="AY56" s="4">
        <f t="shared" si="74"/>
        <v>12</v>
      </c>
      <c r="AZ56" s="4">
        <f t="shared" si="46"/>
        <v>300.02</v>
      </c>
      <c r="BA56" s="4">
        <f t="shared" si="75"/>
        <v>6</v>
      </c>
      <c r="BB56" s="4">
        <f t="shared" si="76"/>
        <v>12</v>
      </c>
      <c r="BC56" s="4">
        <f t="shared" si="47"/>
        <v>300.02</v>
      </c>
      <c r="BD56" s="4">
        <f t="shared" si="77"/>
        <v>6</v>
      </c>
      <c r="BE56" s="4">
        <f t="shared" si="78"/>
        <v>12</v>
      </c>
      <c r="BF56" s="4">
        <f t="shared" si="48"/>
        <v>300.02999999999997</v>
      </c>
    </row>
    <row r="57" spans="1:58" x14ac:dyDescent="0.25">
      <c r="A57" s="2" t="s">
        <v>11</v>
      </c>
      <c r="B57" s="1">
        <v>205</v>
      </c>
      <c r="C57" s="1">
        <v>2500</v>
      </c>
      <c r="D57" s="1">
        <v>5</v>
      </c>
      <c r="E57" s="1">
        <v>10</v>
      </c>
      <c r="F57" s="2">
        <v>1</v>
      </c>
      <c r="H57" s="9" t="s">
        <v>92</v>
      </c>
      <c r="I57" s="9" t="s">
        <v>88</v>
      </c>
      <c r="J57" s="9" t="s">
        <v>33</v>
      </c>
      <c r="K57" s="9">
        <v>23.79</v>
      </c>
      <c r="L57" s="2">
        <v>6</v>
      </c>
      <c r="M57" s="2">
        <v>11</v>
      </c>
      <c r="N57" s="2">
        <v>300.04000000000002</v>
      </c>
      <c r="P57" s="4">
        <f t="shared" si="50"/>
        <v>0</v>
      </c>
      <c r="Q57" s="4">
        <f t="shared" si="37"/>
        <v>0</v>
      </c>
      <c r="R57" s="4">
        <f t="shared" si="38"/>
        <v>0</v>
      </c>
      <c r="S57" s="1">
        <f t="shared" si="51"/>
        <v>6</v>
      </c>
      <c r="T57" s="1">
        <f t="shared" si="52"/>
        <v>6</v>
      </c>
      <c r="U57" s="1">
        <f t="shared" si="53"/>
        <v>11</v>
      </c>
      <c r="V57" s="1">
        <f t="shared" si="54"/>
        <v>11.2</v>
      </c>
      <c r="W57" s="1">
        <f t="shared" si="55"/>
        <v>20</v>
      </c>
      <c r="X57" s="1">
        <f t="shared" si="56"/>
        <v>20</v>
      </c>
      <c r="Y57" s="1">
        <f t="shared" si="57"/>
        <v>10</v>
      </c>
      <c r="Z57" s="1">
        <f t="shared" si="58"/>
        <v>11.999999999999993</v>
      </c>
      <c r="AA57" s="1">
        <f t="shared" si="6"/>
        <v>300.029</v>
      </c>
      <c r="AC57" s="1">
        <f t="shared" si="59"/>
        <v>6</v>
      </c>
      <c r="AD57" s="1">
        <f t="shared" si="60"/>
        <v>11</v>
      </c>
      <c r="AE57" s="1">
        <f t="shared" si="49"/>
        <v>300.04000000000002</v>
      </c>
      <c r="AF57" s="4">
        <f t="shared" si="61"/>
        <v>6</v>
      </c>
      <c r="AG57" s="4">
        <f t="shared" si="62"/>
        <v>11</v>
      </c>
      <c r="AH57" s="4">
        <f t="shared" si="40"/>
        <v>300.01</v>
      </c>
      <c r="AI57" s="4">
        <f t="shared" si="63"/>
        <v>6</v>
      </c>
      <c r="AJ57" s="4">
        <f t="shared" si="64"/>
        <v>11</v>
      </c>
      <c r="AK57" s="4">
        <f t="shared" si="41"/>
        <v>300.01</v>
      </c>
      <c r="AL57" s="4">
        <f t="shared" si="65"/>
        <v>6</v>
      </c>
      <c r="AM57" s="4">
        <f t="shared" si="66"/>
        <v>11</v>
      </c>
      <c r="AN57" s="4">
        <f t="shared" si="42"/>
        <v>300.04000000000002</v>
      </c>
      <c r="AO57" s="4">
        <f t="shared" si="67"/>
        <v>6</v>
      </c>
      <c r="AP57" s="4">
        <f t="shared" si="68"/>
        <v>11</v>
      </c>
      <c r="AQ57" s="4">
        <f t="shared" si="43"/>
        <v>300.01</v>
      </c>
      <c r="AR57" s="4">
        <f t="shared" si="69"/>
        <v>6</v>
      </c>
      <c r="AS57" s="4">
        <f t="shared" si="70"/>
        <v>11</v>
      </c>
      <c r="AT57" s="4">
        <f t="shared" si="44"/>
        <v>300.02</v>
      </c>
      <c r="AU57" s="4">
        <f t="shared" si="71"/>
        <v>6</v>
      </c>
      <c r="AV57" s="4">
        <f t="shared" si="72"/>
        <v>11</v>
      </c>
      <c r="AW57" s="4">
        <f t="shared" si="45"/>
        <v>300.05</v>
      </c>
      <c r="AX57" s="4">
        <f t="shared" si="73"/>
        <v>6</v>
      </c>
      <c r="AY57" s="4">
        <f t="shared" si="74"/>
        <v>12</v>
      </c>
      <c r="AZ57" s="4">
        <f t="shared" si="46"/>
        <v>300.05</v>
      </c>
      <c r="BA57" s="4">
        <f t="shared" si="75"/>
        <v>6</v>
      </c>
      <c r="BB57" s="4">
        <f t="shared" si="76"/>
        <v>12</v>
      </c>
      <c r="BC57" s="4">
        <f t="shared" si="47"/>
        <v>300.05</v>
      </c>
      <c r="BD57" s="4">
        <f t="shared" si="77"/>
        <v>6</v>
      </c>
      <c r="BE57" s="4">
        <f t="shared" si="78"/>
        <v>11</v>
      </c>
      <c r="BF57" s="4">
        <f t="shared" si="48"/>
        <v>300.01</v>
      </c>
    </row>
    <row r="58" spans="1:58" x14ac:dyDescent="0.25">
      <c r="A58" s="2" t="s">
        <v>11</v>
      </c>
      <c r="B58" s="1">
        <v>205</v>
      </c>
      <c r="C58" s="1">
        <v>2643</v>
      </c>
      <c r="D58" s="1">
        <v>5</v>
      </c>
      <c r="E58" s="1">
        <v>9</v>
      </c>
      <c r="F58" s="2">
        <v>1</v>
      </c>
      <c r="H58" s="9" t="s">
        <v>92</v>
      </c>
      <c r="I58" s="9" t="s">
        <v>89</v>
      </c>
      <c r="J58" s="9" t="s">
        <v>33</v>
      </c>
      <c r="K58" s="9">
        <v>20.28</v>
      </c>
      <c r="L58" s="2">
        <v>5</v>
      </c>
      <c r="M58" s="2">
        <v>10</v>
      </c>
      <c r="N58" s="2">
        <v>300.02</v>
      </c>
      <c r="P58" s="4">
        <f t="shared" si="50"/>
        <v>0</v>
      </c>
      <c r="Q58" s="4">
        <f t="shared" si="37"/>
        <v>0</v>
      </c>
      <c r="R58" s="4">
        <f t="shared" si="38"/>
        <v>0</v>
      </c>
      <c r="S58" s="1">
        <f t="shared" si="51"/>
        <v>5</v>
      </c>
      <c r="T58" s="1">
        <f t="shared" si="52"/>
        <v>5.7</v>
      </c>
      <c r="U58" s="1">
        <f t="shared" si="53"/>
        <v>10</v>
      </c>
      <c r="V58" s="1">
        <f t="shared" si="54"/>
        <v>10.7</v>
      </c>
      <c r="W58" s="1">
        <f t="shared" si="55"/>
        <v>0</v>
      </c>
      <c r="X58" s="1">
        <f t="shared" si="56"/>
        <v>14.000000000000004</v>
      </c>
      <c r="Y58" s="1">
        <f t="shared" si="57"/>
        <v>11.111111111111111</v>
      </c>
      <c r="Z58" s="1">
        <f t="shared" si="58"/>
        <v>18.888888888888882</v>
      </c>
      <c r="AA58" s="1">
        <f t="shared" si="6"/>
        <v>300.017</v>
      </c>
      <c r="AC58" s="1">
        <f t="shared" si="59"/>
        <v>5</v>
      </c>
      <c r="AD58" s="1">
        <f t="shared" si="60"/>
        <v>10</v>
      </c>
      <c r="AE58" s="1">
        <f t="shared" si="49"/>
        <v>300.02</v>
      </c>
      <c r="AF58" s="4">
        <f t="shared" si="61"/>
        <v>6</v>
      </c>
      <c r="AG58" s="4">
        <f t="shared" si="62"/>
        <v>11</v>
      </c>
      <c r="AH58" s="4">
        <f t="shared" si="40"/>
        <v>300</v>
      </c>
      <c r="AI58" s="4">
        <f t="shared" si="63"/>
        <v>5</v>
      </c>
      <c r="AJ58" s="4">
        <f t="shared" si="64"/>
        <v>10</v>
      </c>
      <c r="AK58" s="4">
        <f t="shared" si="41"/>
        <v>300.01</v>
      </c>
      <c r="AL58" s="4">
        <f t="shared" si="65"/>
        <v>6</v>
      </c>
      <c r="AM58" s="4">
        <f t="shared" si="66"/>
        <v>11</v>
      </c>
      <c r="AN58" s="4">
        <f t="shared" si="42"/>
        <v>300.02999999999997</v>
      </c>
      <c r="AO58" s="4">
        <f t="shared" si="67"/>
        <v>6</v>
      </c>
      <c r="AP58" s="4">
        <f t="shared" si="68"/>
        <v>11</v>
      </c>
      <c r="AQ58" s="4">
        <f t="shared" si="43"/>
        <v>300</v>
      </c>
      <c r="AR58" s="4">
        <f t="shared" si="69"/>
        <v>6</v>
      </c>
      <c r="AS58" s="4">
        <f t="shared" si="70"/>
        <v>11</v>
      </c>
      <c r="AT58" s="4">
        <f t="shared" si="44"/>
        <v>300.04000000000002</v>
      </c>
      <c r="AU58" s="4">
        <f t="shared" si="71"/>
        <v>5</v>
      </c>
      <c r="AV58" s="4">
        <f t="shared" si="72"/>
        <v>10</v>
      </c>
      <c r="AW58" s="4">
        <f t="shared" si="45"/>
        <v>300.02</v>
      </c>
      <c r="AX58" s="4">
        <f t="shared" si="73"/>
        <v>6</v>
      </c>
      <c r="AY58" s="4">
        <f t="shared" si="74"/>
        <v>11</v>
      </c>
      <c r="AZ58" s="4">
        <f t="shared" si="46"/>
        <v>300.02999999999997</v>
      </c>
      <c r="BA58" s="4">
        <f t="shared" si="75"/>
        <v>6</v>
      </c>
      <c r="BB58" s="4">
        <f t="shared" si="76"/>
        <v>11</v>
      </c>
      <c r="BC58" s="4">
        <f t="shared" si="47"/>
        <v>300.01</v>
      </c>
      <c r="BD58" s="4">
        <f t="shared" si="77"/>
        <v>6</v>
      </c>
      <c r="BE58" s="4">
        <f t="shared" si="78"/>
        <v>11</v>
      </c>
      <c r="BF58" s="4">
        <f t="shared" si="48"/>
        <v>300.01</v>
      </c>
    </row>
    <row r="59" spans="1:58" x14ac:dyDescent="0.25">
      <c r="A59" s="2" t="s">
        <v>11</v>
      </c>
      <c r="B59" s="1">
        <v>205</v>
      </c>
      <c r="C59" s="1">
        <v>2800</v>
      </c>
      <c r="D59" s="1">
        <v>5</v>
      </c>
      <c r="E59" s="1">
        <v>9</v>
      </c>
      <c r="F59" s="2">
        <v>1</v>
      </c>
      <c r="H59" s="9" t="s">
        <v>92</v>
      </c>
      <c r="I59" s="9" t="s">
        <v>90</v>
      </c>
      <c r="J59" s="9" t="s">
        <v>33</v>
      </c>
      <c r="K59" s="9">
        <v>20.32</v>
      </c>
      <c r="L59" s="2">
        <v>5</v>
      </c>
      <c r="M59" s="2">
        <v>10</v>
      </c>
      <c r="N59" s="2">
        <v>300.02</v>
      </c>
      <c r="P59" s="4">
        <f t="shared" si="50"/>
        <v>0</v>
      </c>
      <c r="Q59" s="4">
        <f t="shared" si="37"/>
        <v>0</v>
      </c>
      <c r="R59" s="4">
        <f t="shared" si="38"/>
        <v>0</v>
      </c>
      <c r="S59" s="1">
        <f t="shared" si="51"/>
        <v>5</v>
      </c>
      <c r="T59" s="1">
        <f t="shared" si="52"/>
        <v>5.0999999999999996</v>
      </c>
      <c r="U59" s="1">
        <f t="shared" si="53"/>
        <v>10</v>
      </c>
      <c r="V59" s="1">
        <f t="shared" si="54"/>
        <v>10.199999999999999</v>
      </c>
      <c r="W59" s="1">
        <f t="shared" si="55"/>
        <v>0</v>
      </c>
      <c r="X59" s="1">
        <f t="shared" si="56"/>
        <v>1.9999999999999929</v>
      </c>
      <c r="Y59" s="1">
        <f t="shared" si="57"/>
        <v>11.111111111111111</v>
      </c>
      <c r="Z59" s="1">
        <f t="shared" si="58"/>
        <v>13.333333333333325</v>
      </c>
      <c r="AA59" s="1">
        <f t="shared" si="6"/>
        <v>300.024</v>
      </c>
      <c r="AC59" s="1">
        <f t="shared" si="59"/>
        <v>5</v>
      </c>
      <c r="AD59" s="1">
        <f t="shared" si="60"/>
        <v>10</v>
      </c>
      <c r="AE59" s="1">
        <f t="shared" si="49"/>
        <v>300.02</v>
      </c>
      <c r="AF59" s="4">
        <f t="shared" si="61"/>
        <v>5</v>
      </c>
      <c r="AG59" s="4">
        <f t="shared" si="62"/>
        <v>10</v>
      </c>
      <c r="AH59" s="4">
        <f t="shared" si="40"/>
        <v>300.04000000000002</v>
      </c>
      <c r="AI59" s="4">
        <f t="shared" si="63"/>
        <v>5</v>
      </c>
      <c r="AJ59" s="4">
        <f t="shared" si="64"/>
        <v>10</v>
      </c>
      <c r="AK59" s="4">
        <f t="shared" si="41"/>
        <v>300.01</v>
      </c>
      <c r="AL59" s="4">
        <f t="shared" si="65"/>
        <v>5</v>
      </c>
      <c r="AM59" s="4">
        <f t="shared" si="66"/>
        <v>10</v>
      </c>
      <c r="AN59" s="4">
        <f t="shared" si="42"/>
        <v>300.04000000000002</v>
      </c>
      <c r="AO59" s="4">
        <f t="shared" si="67"/>
        <v>5</v>
      </c>
      <c r="AP59" s="4">
        <f t="shared" si="68"/>
        <v>10</v>
      </c>
      <c r="AQ59" s="4">
        <f t="shared" si="43"/>
        <v>300.02</v>
      </c>
      <c r="AR59" s="4">
        <f t="shared" si="69"/>
        <v>5</v>
      </c>
      <c r="AS59" s="4">
        <f t="shared" si="70"/>
        <v>10</v>
      </c>
      <c r="AT59" s="4">
        <f t="shared" si="44"/>
        <v>300.04000000000002</v>
      </c>
      <c r="AU59" s="4">
        <f t="shared" si="71"/>
        <v>5</v>
      </c>
      <c r="AV59" s="4">
        <f t="shared" si="72"/>
        <v>10</v>
      </c>
      <c r="AW59" s="4">
        <f t="shared" si="45"/>
        <v>300.02</v>
      </c>
      <c r="AX59" s="4">
        <f t="shared" si="73"/>
        <v>5</v>
      </c>
      <c r="AY59" s="4">
        <f t="shared" si="74"/>
        <v>10</v>
      </c>
      <c r="AZ59" s="4">
        <f t="shared" si="46"/>
        <v>300.02999999999997</v>
      </c>
      <c r="BA59" s="4">
        <f t="shared" si="75"/>
        <v>5</v>
      </c>
      <c r="BB59" s="4">
        <f t="shared" si="76"/>
        <v>10</v>
      </c>
      <c r="BC59" s="4">
        <f t="shared" si="47"/>
        <v>300.01</v>
      </c>
      <c r="BD59" s="4">
        <f t="shared" si="77"/>
        <v>6</v>
      </c>
      <c r="BE59" s="4">
        <f t="shared" si="78"/>
        <v>12</v>
      </c>
      <c r="BF59" s="4">
        <f t="shared" si="48"/>
        <v>300.01</v>
      </c>
    </row>
    <row r="60" spans="1:58" x14ac:dyDescent="0.25">
      <c r="A60" s="2" t="s">
        <v>11</v>
      </c>
      <c r="B60" s="1">
        <v>205</v>
      </c>
      <c r="C60" s="1">
        <v>2832</v>
      </c>
      <c r="D60" s="1">
        <v>5</v>
      </c>
      <c r="E60" s="1">
        <v>9</v>
      </c>
      <c r="F60" s="2">
        <v>1</v>
      </c>
      <c r="H60" s="9" t="s">
        <v>92</v>
      </c>
      <c r="I60" s="9" t="s">
        <v>91</v>
      </c>
      <c r="J60" s="9" t="s">
        <v>33</v>
      </c>
      <c r="K60" s="9">
        <v>20.36</v>
      </c>
      <c r="L60" s="2">
        <v>5</v>
      </c>
      <c r="M60" s="2">
        <v>10</v>
      </c>
      <c r="N60" s="2">
        <v>300.01</v>
      </c>
      <c r="P60" s="4">
        <f t="shared" si="50"/>
        <v>0</v>
      </c>
      <c r="Q60" s="4">
        <f t="shared" si="37"/>
        <v>0</v>
      </c>
      <c r="R60" s="4">
        <f t="shared" si="38"/>
        <v>0</v>
      </c>
      <c r="S60" s="1">
        <f t="shared" si="51"/>
        <v>5</v>
      </c>
      <c r="T60" s="1">
        <f t="shared" si="52"/>
        <v>5</v>
      </c>
      <c r="U60" s="1">
        <f t="shared" si="53"/>
        <v>10</v>
      </c>
      <c r="V60" s="1">
        <f t="shared" si="54"/>
        <v>10</v>
      </c>
      <c r="W60" s="1">
        <f t="shared" si="55"/>
        <v>0</v>
      </c>
      <c r="X60" s="1">
        <f t="shared" si="56"/>
        <v>0</v>
      </c>
      <c r="Y60" s="1">
        <f t="shared" si="57"/>
        <v>11.111111111111111</v>
      </c>
      <c r="Z60" s="1">
        <f t="shared" si="58"/>
        <v>11.111111111111111</v>
      </c>
      <c r="AA60" s="1">
        <f t="shared" si="6"/>
        <v>300.01900000000001</v>
      </c>
      <c r="AC60" s="1">
        <f t="shared" si="59"/>
        <v>5</v>
      </c>
      <c r="AD60" s="1">
        <f t="shared" si="60"/>
        <v>10</v>
      </c>
      <c r="AE60" s="1">
        <f t="shared" si="49"/>
        <v>300.01</v>
      </c>
      <c r="AF60" s="4">
        <f t="shared" si="61"/>
        <v>5</v>
      </c>
      <c r="AG60" s="4">
        <f t="shared" si="62"/>
        <v>10</v>
      </c>
      <c r="AH60" s="4">
        <f t="shared" si="40"/>
        <v>300.01</v>
      </c>
      <c r="AI60" s="4">
        <f t="shared" si="63"/>
        <v>5</v>
      </c>
      <c r="AJ60" s="4">
        <f t="shared" si="64"/>
        <v>10</v>
      </c>
      <c r="AK60" s="4">
        <f t="shared" si="41"/>
        <v>300.01</v>
      </c>
      <c r="AL60" s="4">
        <f t="shared" si="65"/>
        <v>5</v>
      </c>
      <c r="AM60" s="4">
        <f t="shared" si="66"/>
        <v>10</v>
      </c>
      <c r="AN60" s="4">
        <f t="shared" si="42"/>
        <v>300.04000000000002</v>
      </c>
      <c r="AO60" s="4">
        <f t="shared" si="67"/>
        <v>5</v>
      </c>
      <c r="AP60" s="4">
        <f t="shared" si="68"/>
        <v>10</v>
      </c>
      <c r="AQ60" s="4">
        <f t="shared" si="43"/>
        <v>300.01</v>
      </c>
      <c r="AR60" s="4">
        <f t="shared" si="69"/>
        <v>5</v>
      </c>
      <c r="AS60" s="4">
        <f t="shared" si="70"/>
        <v>10</v>
      </c>
      <c r="AT60" s="4">
        <f t="shared" si="44"/>
        <v>300.05</v>
      </c>
      <c r="AU60" s="4">
        <f t="shared" si="71"/>
        <v>5</v>
      </c>
      <c r="AV60" s="4">
        <f t="shared" si="72"/>
        <v>10</v>
      </c>
      <c r="AW60" s="4">
        <f t="shared" si="45"/>
        <v>300</v>
      </c>
      <c r="AX60" s="4">
        <f t="shared" si="73"/>
        <v>5</v>
      </c>
      <c r="AY60" s="4">
        <f t="shared" si="74"/>
        <v>10</v>
      </c>
      <c r="AZ60" s="4">
        <f t="shared" si="46"/>
        <v>300.02</v>
      </c>
      <c r="BA60" s="4">
        <f t="shared" si="75"/>
        <v>5</v>
      </c>
      <c r="BB60" s="4">
        <f t="shared" si="76"/>
        <v>10</v>
      </c>
      <c r="BC60" s="4">
        <f t="shared" si="47"/>
        <v>300.02</v>
      </c>
      <c r="BD60" s="4">
        <f t="shared" si="77"/>
        <v>5</v>
      </c>
      <c r="BE60" s="4">
        <f t="shared" si="78"/>
        <v>10</v>
      </c>
      <c r="BF60" s="4">
        <f t="shared" si="48"/>
        <v>300.02</v>
      </c>
    </row>
    <row r="61" spans="1:58" x14ac:dyDescent="0.25">
      <c r="A61" s="1" t="str">
        <f>A2</f>
        <v>P9</v>
      </c>
      <c r="B61" s="1">
        <f>B2</f>
        <v>9</v>
      </c>
      <c r="C61" s="1">
        <f>C2</f>
        <v>3</v>
      </c>
      <c r="D61" s="1">
        <f>D2</f>
        <v>3</v>
      </c>
      <c r="E61" s="1">
        <f>E2</f>
        <v>6</v>
      </c>
      <c r="F61" s="2">
        <f>F2+1</f>
        <v>2</v>
      </c>
      <c r="H61" s="9" t="s">
        <v>92</v>
      </c>
      <c r="I61" s="9" t="s">
        <v>32</v>
      </c>
      <c r="J61" s="9" t="s">
        <v>33</v>
      </c>
      <c r="K61" s="9">
        <v>12.17</v>
      </c>
      <c r="L61" s="2">
        <v>3</v>
      </c>
      <c r="M61" s="2">
        <v>6</v>
      </c>
      <c r="N61" s="2">
        <v>0</v>
      </c>
      <c r="P61" s="4">
        <f t="shared" si="50"/>
        <v>1</v>
      </c>
    </row>
    <row r="62" spans="1:58" x14ac:dyDescent="0.25">
      <c r="A62" s="1" t="str">
        <f>A3</f>
        <v>P9</v>
      </c>
      <c r="B62" s="1">
        <f>B3</f>
        <v>9</v>
      </c>
      <c r="C62" s="1">
        <f>C3</f>
        <v>4</v>
      </c>
      <c r="D62" s="1">
        <f>D3</f>
        <v>3</v>
      </c>
      <c r="E62" s="1">
        <f>E3</f>
        <v>5</v>
      </c>
      <c r="F62" s="2">
        <f>F3+1</f>
        <v>2</v>
      </c>
      <c r="H62" s="9" t="s">
        <v>92</v>
      </c>
      <c r="I62" s="9" t="s">
        <v>34</v>
      </c>
      <c r="J62" s="9" t="s">
        <v>33</v>
      </c>
      <c r="K62" s="9">
        <v>11.42</v>
      </c>
      <c r="L62" s="2">
        <v>3</v>
      </c>
      <c r="M62" s="2">
        <v>5</v>
      </c>
      <c r="N62" s="2">
        <v>0</v>
      </c>
      <c r="P62" s="4">
        <f t="shared" si="50"/>
        <v>1</v>
      </c>
      <c r="Q62" s="11">
        <f>SUM(Q2:Q60)</f>
        <v>38</v>
      </c>
      <c r="R62" s="11">
        <f>SUM(R2:R60)</f>
        <v>35.899999999999991</v>
      </c>
      <c r="S62" s="11"/>
      <c r="T62" s="11"/>
      <c r="U62" s="11"/>
      <c r="V62" s="11"/>
      <c r="W62" s="11">
        <f>AVERAGE(W2:W60)</f>
        <v>1.885256927629809</v>
      </c>
      <c r="X62" s="11">
        <f>AVERAGE(X2:X60)</f>
        <v>3.0108163964096164</v>
      </c>
      <c r="Y62" s="11">
        <f>AVERAGE(Y2:Y60)</f>
        <v>3.6697881348797026</v>
      </c>
      <c r="Z62" s="11">
        <f>AVERAGE(Z2:Z60)</f>
        <v>4.4412524318344602</v>
      </c>
      <c r="AA62" s="11">
        <f>AVERAGE(AA2:AA60)</f>
        <v>138.44725423728818</v>
      </c>
      <c r="AB62" s="4"/>
    </row>
    <row r="63" spans="1:58" x14ac:dyDescent="0.25">
      <c r="A63" s="1" t="str">
        <f>A4</f>
        <v>P9</v>
      </c>
      <c r="B63" s="1">
        <f>B4</f>
        <v>9</v>
      </c>
      <c r="C63" s="1">
        <f>C4</f>
        <v>5</v>
      </c>
      <c r="D63" s="1">
        <f>D4</f>
        <v>2</v>
      </c>
      <c r="E63" s="1">
        <f>E4</f>
        <v>4</v>
      </c>
      <c r="F63" s="2">
        <f>F4+1</f>
        <v>2</v>
      </c>
      <c r="H63" s="9" t="s">
        <v>92</v>
      </c>
      <c r="I63" s="9" t="s">
        <v>35</v>
      </c>
      <c r="J63" s="9" t="s">
        <v>33</v>
      </c>
      <c r="K63" s="9">
        <v>8.15</v>
      </c>
      <c r="L63" s="2">
        <v>2</v>
      </c>
      <c r="M63" s="2">
        <v>4</v>
      </c>
      <c r="N63" s="2">
        <v>0</v>
      </c>
      <c r="P63" s="4">
        <f t="shared" si="50"/>
        <v>1</v>
      </c>
    </row>
    <row r="64" spans="1:58" x14ac:dyDescent="0.25">
      <c r="A64" s="1" t="str">
        <f>A5</f>
        <v>P9</v>
      </c>
      <c r="B64" s="1">
        <f>B5</f>
        <v>9</v>
      </c>
      <c r="C64" s="1">
        <f>C5</f>
        <v>6</v>
      </c>
      <c r="D64" s="1">
        <f>D5</f>
        <v>2</v>
      </c>
      <c r="E64" s="1">
        <f>E5</f>
        <v>3</v>
      </c>
      <c r="F64" s="2">
        <f>F5+1</f>
        <v>2</v>
      </c>
      <c r="H64" s="9" t="s">
        <v>92</v>
      </c>
      <c r="I64" s="9" t="s">
        <v>36</v>
      </c>
      <c r="J64" s="9" t="s">
        <v>33</v>
      </c>
      <c r="K64" s="9">
        <v>7.29</v>
      </c>
      <c r="L64" s="2">
        <v>2</v>
      </c>
      <c r="M64" s="2">
        <v>3</v>
      </c>
      <c r="N64" s="2">
        <v>0</v>
      </c>
      <c r="P64" s="4">
        <f t="shared" si="50"/>
        <v>1</v>
      </c>
    </row>
    <row r="65" spans="1:16" x14ac:dyDescent="0.25">
      <c r="A65" s="1" t="str">
        <f>A6</f>
        <v>P9</v>
      </c>
      <c r="B65" s="1">
        <f>B6</f>
        <v>9</v>
      </c>
      <c r="C65" s="1">
        <f>C6</f>
        <v>7</v>
      </c>
      <c r="D65" s="1">
        <f>D6</f>
        <v>2</v>
      </c>
      <c r="E65" s="1">
        <f>E6</f>
        <v>3</v>
      </c>
      <c r="F65" s="2">
        <f>F6+1</f>
        <v>2</v>
      </c>
      <c r="H65" s="9" t="s">
        <v>92</v>
      </c>
      <c r="I65" s="9" t="s">
        <v>37</v>
      </c>
      <c r="J65" s="9" t="s">
        <v>33</v>
      </c>
      <c r="K65" s="9">
        <v>7.39</v>
      </c>
      <c r="L65" s="2">
        <v>2</v>
      </c>
      <c r="M65" s="2">
        <v>3</v>
      </c>
      <c r="N65" s="2">
        <v>0</v>
      </c>
      <c r="P65" s="4">
        <f t="shared" si="50"/>
        <v>1</v>
      </c>
    </row>
    <row r="66" spans="1:16" x14ac:dyDescent="0.25">
      <c r="A66" s="1" t="str">
        <f>A7</f>
        <v>P12</v>
      </c>
      <c r="B66" s="1">
        <f>B7</f>
        <v>12</v>
      </c>
      <c r="C66" s="1">
        <f>C7</f>
        <v>4</v>
      </c>
      <c r="D66" s="1">
        <f>D7</f>
        <v>4</v>
      </c>
      <c r="E66" s="1">
        <f>E7</f>
        <v>7</v>
      </c>
      <c r="F66" s="2">
        <f>F7+1</f>
        <v>2</v>
      </c>
      <c r="H66" s="9" t="s">
        <v>92</v>
      </c>
      <c r="I66" s="9" t="s">
        <v>38</v>
      </c>
      <c r="J66" s="9" t="s">
        <v>33</v>
      </c>
      <c r="K66" s="9">
        <v>15.31</v>
      </c>
      <c r="L66" s="2">
        <v>4</v>
      </c>
      <c r="M66" s="2">
        <v>7</v>
      </c>
      <c r="N66" s="2">
        <v>0</v>
      </c>
      <c r="P66" s="4">
        <f t="shared" si="50"/>
        <v>1</v>
      </c>
    </row>
    <row r="67" spans="1:16" x14ac:dyDescent="0.25">
      <c r="A67" s="1" t="str">
        <f>A8</f>
        <v>P12</v>
      </c>
      <c r="B67" s="1">
        <f>B8</f>
        <v>12</v>
      </c>
      <c r="C67" s="1">
        <f>C8</f>
        <v>5</v>
      </c>
      <c r="D67" s="1">
        <f>D8</f>
        <v>3</v>
      </c>
      <c r="E67" s="1">
        <f>E8</f>
        <v>6</v>
      </c>
      <c r="F67" s="2">
        <f>F8+1</f>
        <v>2</v>
      </c>
      <c r="H67" s="9" t="s">
        <v>92</v>
      </c>
      <c r="I67" s="9" t="s">
        <v>39</v>
      </c>
      <c r="J67" s="9" t="s">
        <v>33</v>
      </c>
      <c r="K67" s="9">
        <v>12.23</v>
      </c>
      <c r="L67" s="2">
        <v>3</v>
      </c>
      <c r="M67" s="2">
        <v>6</v>
      </c>
      <c r="N67" s="2">
        <v>300</v>
      </c>
      <c r="P67" s="4">
        <f t="shared" ref="P67:P130" si="79">IF(D67*100+E67=L67*100+M67,1,0)</f>
        <v>1</v>
      </c>
    </row>
    <row r="68" spans="1:16" x14ac:dyDescent="0.25">
      <c r="A68" s="1" t="str">
        <f>A9</f>
        <v>P12</v>
      </c>
      <c r="B68" s="1">
        <f>B9</f>
        <v>12</v>
      </c>
      <c r="C68" s="1">
        <f>C9</f>
        <v>6</v>
      </c>
      <c r="D68" s="1">
        <f>D9</f>
        <v>3</v>
      </c>
      <c r="E68" s="1">
        <f>E9</f>
        <v>5</v>
      </c>
      <c r="F68" s="2">
        <f>F9+1</f>
        <v>2</v>
      </c>
      <c r="H68" s="9" t="s">
        <v>92</v>
      </c>
      <c r="I68" s="9" t="s">
        <v>40</v>
      </c>
      <c r="J68" s="9" t="s">
        <v>33</v>
      </c>
      <c r="K68" s="9">
        <v>11.33</v>
      </c>
      <c r="L68" s="2">
        <v>3</v>
      </c>
      <c r="M68" s="2">
        <v>5</v>
      </c>
      <c r="N68" s="2">
        <v>0</v>
      </c>
      <c r="P68" s="4">
        <f t="shared" si="79"/>
        <v>1</v>
      </c>
    </row>
    <row r="69" spans="1:16" x14ac:dyDescent="0.25">
      <c r="A69" s="1" t="str">
        <f>A10</f>
        <v>P12</v>
      </c>
      <c r="B69" s="1">
        <f>B10</f>
        <v>12</v>
      </c>
      <c r="C69" s="1">
        <f>C10</f>
        <v>7</v>
      </c>
      <c r="D69" s="1">
        <f>D10</f>
        <v>2</v>
      </c>
      <c r="E69" s="1">
        <f>E10</f>
        <v>4</v>
      </c>
      <c r="F69" s="2">
        <f>F10+1</f>
        <v>2</v>
      </c>
      <c r="H69" s="9" t="s">
        <v>92</v>
      </c>
      <c r="I69" s="9" t="s">
        <v>41</v>
      </c>
      <c r="J69" s="9" t="s">
        <v>33</v>
      </c>
      <c r="K69" s="9">
        <v>8.11</v>
      </c>
      <c r="L69" s="2">
        <v>2</v>
      </c>
      <c r="M69" s="2">
        <v>4</v>
      </c>
      <c r="N69" s="2">
        <v>0</v>
      </c>
      <c r="P69" s="4">
        <f t="shared" si="79"/>
        <v>1</v>
      </c>
    </row>
    <row r="70" spans="1:16" x14ac:dyDescent="0.25">
      <c r="A70" s="1" t="str">
        <f>A11</f>
        <v>P12</v>
      </c>
      <c r="B70" s="1">
        <f>B11</f>
        <v>12</v>
      </c>
      <c r="C70" s="1">
        <f>C11</f>
        <v>8</v>
      </c>
      <c r="D70" s="1">
        <f>D11</f>
        <v>2</v>
      </c>
      <c r="E70" s="1">
        <f>E11</f>
        <v>4</v>
      </c>
      <c r="F70" s="2">
        <f>F11+1</f>
        <v>2</v>
      </c>
      <c r="H70" s="9" t="s">
        <v>92</v>
      </c>
      <c r="I70" s="9" t="s">
        <v>42</v>
      </c>
      <c r="J70" s="9" t="s">
        <v>33</v>
      </c>
      <c r="K70" s="9">
        <v>8.2200000000000006</v>
      </c>
      <c r="L70" s="2">
        <v>2</v>
      </c>
      <c r="M70" s="2">
        <v>4</v>
      </c>
      <c r="N70" s="2">
        <v>0</v>
      </c>
      <c r="P70" s="4">
        <f t="shared" si="79"/>
        <v>1</v>
      </c>
    </row>
    <row r="71" spans="1:16" x14ac:dyDescent="0.25">
      <c r="A71" s="1" t="str">
        <f>A12</f>
        <v>P12</v>
      </c>
      <c r="B71" s="1">
        <f>B12</f>
        <v>12</v>
      </c>
      <c r="C71" s="1">
        <f>C12</f>
        <v>9</v>
      </c>
      <c r="D71" s="1">
        <f>D12</f>
        <v>2</v>
      </c>
      <c r="E71" s="1">
        <f>E12</f>
        <v>3</v>
      </c>
      <c r="F71" s="2">
        <f>F12+1</f>
        <v>2</v>
      </c>
      <c r="H71" s="9" t="s">
        <v>92</v>
      </c>
      <c r="I71" s="9" t="s">
        <v>43</v>
      </c>
      <c r="J71" s="9" t="s">
        <v>33</v>
      </c>
      <c r="K71" s="9">
        <v>7.31</v>
      </c>
      <c r="L71" s="2">
        <v>2</v>
      </c>
      <c r="M71" s="2">
        <v>3</v>
      </c>
      <c r="N71" s="2">
        <v>0</v>
      </c>
      <c r="P71" s="4">
        <f t="shared" si="79"/>
        <v>1</v>
      </c>
    </row>
    <row r="72" spans="1:16" x14ac:dyDescent="0.25">
      <c r="A72" s="1" t="str">
        <f>A13</f>
        <v>P16</v>
      </c>
      <c r="B72" s="1">
        <f>B13</f>
        <v>16</v>
      </c>
      <c r="C72" s="1">
        <f>C13</f>
        <v>15</v>
      </c>
      <c r="D72" s="1">
        <f>D13</f>
        <v>4</v>
      </c>
      <c r="E72" s="1">
        <f>E13</f>
        <v>6</v>
      </c>
      <c r="F72" s="2">
        <f>F13+1</f>
        <v>2</v>
      </c>
      <c r="H72" s="9" t="s">
        <v>92</v>
      </c>
      <c r="I72" s="9" t="s">
        <v>44</v>
      </c>
      <c r="J72" s="9" t="s">
        <v>33</v>
      </c>
      <c r="K72" s="9">
        <v>14.68</v>
      </c>
      <c r="L72" s="2">
        <v>4</v>
      </c>
      <c r="M72" s="2">
        <v>6</v>
      </c>
      <c r="N72" s="2">
        <v>300</v>
      </c>
      <c r="P72" s="4">
        <f t="shared" si="79"/>
        <v>1</v>
      </c>
    </row>
    <row r="73" spans="1:16" x14ac:dyDescent="0.25">
      <c r="A73" s="1" t="str">
        <f>A14</f>
        <v>P16</v>
      </c>
      <c r="B73" s="1">
        <f>B14</f>
        <v>16</v>
      </c>
      <c r="C73" s="1">
        <f>C14</f>
        <v>16</v>
      </c>
      <c r="D73" s="1">
        <f>D14</f>
        <v>3</v>
      </c>
      <c r="E73" s="1">
        <f>E14</f>
        <v>6</v>
      </c>
      <c r="F73" s="2">
        <f>F14+1</f>
        <v>2</v>
      </c>
      <c r="H73" s="9" t="s">
        <v>92</v>
      </c>
      <c r="I73" s="9" t="s">
        <v>45</v>
      </c>
      <c r="J73" s="9" t="s">
        <v>33</v>
      </c>
      <c r="K73" s="9">
        <v>12.29</v>
      </c>
      <c r="L73" s="2">
        <v>3</v>
      </c>
      <c r="M73" s="2">
        <v>6</v>
      </c>
      <c r="N73" s="2">
        <v>0</v>
      </c>
      <c r="P73" s="4">
        <f t="shared" si="79"/>
        <v>1</v>
      </c>
    </row>
    <row r="74" spans="1:16" x14ac:dyDescent="0.25">
      <c r="A74" s="1" t="str">
        <f>A15</f>
        <v>P16</v>
      </c>
      <c r="B74" s="1">
        <f>B15</f>
        <v>16</v>
      </c>
      <c r="C74" s="1">
        <f>C15</f>
        <v>18</v>
      </c>
      <c r="D74" s="1">
        <f>D15</f>
        <v>3</v>
      </c>
      <c r="E74" s="1">
        <f>E15</f>
        <v>6</v>
      </c>
      <c r="F74" s="2">
        <f>F15+1</f>
        <v>2</v>
      </c>
      <c r="H74" s="9" t="s">
        <v>92</v>
      </c>
      <c r="I74" s="9" t="s">
        <v>46</v>
      </c>
      <c r="J74" s="9" t="s">
        <v>33</v>
      </c>
      <c r="K74" s="9">
        <v>12.41</v>
      </c>
      <c r="L74" s="2">
        <v>3</v>
      </c>
      <c r="M74" s="2">
        <v>6</v>
      </c>
      <c r="N74" s="2">
        <v>300</v>
      </c>
      <c r="P74" s="4">
        <f t="shared" si="79"/>
        <v>1</v>
      </c>
    </row>
    <row r="75" spans="1:16" x14ac:dyDescent="0.25">
      <c r="A75" s="1" t="str">
        <f>A16</f>
        <v>P16</v>
      </c>
      <c r="B75" s="1">
        <f>B16</f>
        <v>16</v>
      </c>
      <c r="C75" s="1">
        <f>C16</f>
        <v>19</v>
      </c>
      <c r="D75" s="1">
        <f>D16</f>
        <v>3</v>
      </c>
      <c r="E75" s="1">
        <f>E16</f>
        <v>5</v>
      </c>
      <c r="F75" s="2">
        <f>F16+1</f>
        <v>2</v>
      </c>
      <c r="H75" s="9" t="s">
        <v>92</v>
      </c>
      <c r="I75" s="9" t="s">
        <v>47</v>
      </c>
      <c r="J75" s="9" t="s">
        <v>33</v>
      </c>
      <c r="K75" s="9">
        <v>12.49</v>
      </c>
      <c r="L75" s="2">
        <v>3</v>
      </c>
      <c r="M75" s="2">
        <v>6</v>
      </c>
      <c r="N75" s="2">
        <v>300</v>
      </c>
      <c r="P75" s="4">
        <f t="shared" si="79"/>
        <v>0</v>
      </c>
    </row>
    <row r="76" spans="1:16" x14ac:dyDescent="0.25">
      <c r="A76" s="1" t="str">
        <f>A17</f>
        <v>P16</v>
      </c>
      <c r="B76" s="1">
        <f>B17</f>
        <v>16</v>
      </c>
      <c r="C76" s="1">
        <f>C17</f>
        <v>20</v>
      </c>
      <c r="D76" s="1">
        <f>D17</f>
        <v>3</v>
      </c>
      <c r="E76" s="1">
        <f>E17</f>
        <v>5</v>
      </c>
      <c r="F76" s="2">
        <f>F17+1</f>
        <v>2</v>
      </c>
      <c r="H76" s="9" t="s">
        <v>92</v>
      </c>
      <c r="I76" s="9" t="s">
        <v>48</v>
      </c>
      <c r="J76" s="9" t="s">
        <v>33</v>
      </c>
      <c r="K76" s="9">
        <v>12.57</v>
      </c>
      <c r="L76" s="2">
        <v>3</v>
      </c>
      <c r="M76" s="2">
        <v>6</v>
      </c>
      <c r="N76" s="2">
        <v>300</v>
      </c>
      <c r="P76" s="4">
        <f t="shared" si="79"/>
        <v>0</v>
      </c>
    </row>
    <row r="77" spans="1:16" x14ac:dyDescent="0.25">
      <c r="A77" s="1" t="str">
        <f>A18</f>
        <v>P16</v>
      </c>
      <c r="B77" s="1">
        <f>B18</f>
        <v>16</v>
      </c>
      <c r="C77" s="1">
        <f>C18</f>
        <v>21</v>
      </c>
      <c r="D77" s="1">
        <f>D18</f>
        <v>3</v>
      </c>
      <c r="E77" s="1">
        <f>E18</f>
        <v>5</v>
      </c>
      <c r="F77" s="2">
        <f>F18+1</f>
        <v>2</v>
      </c>
      <c r="H77" s="9" t="s">
        <v>92</v>
      </c>
      <c r="I77" s="9" t="s">
        <v>49</v>
      </c>
      <c r="J77" s="9" t="s">
        <v>33</v>
      </c>
      <c r="K77" s="9">
        <v>11.57</v>
      </c>
      <c r="L77" s="2">
        <v>3</v>
      </c>
      <c r="M77" s="2">
        <v>5</v>
      </c>
      <c r="N77" s="2">
        <v>300</v>
      </c>
      <c r="P77" s="4">
        <f t="shared" si="79"/>
        <v>1</v>
      </c>
    </row>
    <row r="78" spans="1:16" x14ac:dyDescent="0.25">
      <c r="A78" s="1" t="str">
        <f>A19</f>
        <v>P16</v>
      </c>
      <c r="B78" s="1">
        <f>B19</f>
        <v>16</v>
      </c>
      <c r="C78" s="1">
        <f>C19</f>
        <v>22</v>
      </c>
      <c r="D78" s="1">
        <f>D19</f>
        <v>2</v>
      </c>
      <c r="E78" s="1">
        <f>E19</f>
        <v>4</v>
      </c>
      <c r="F78" s="2">
        <f>F19+1</f>
        <v>2</v>
      </c>
      <c r="H78" s="9" t="s">
        <v>92</v>
      </c>
      <c r="I78" s="9" t="s">
        <v>50</v>
      </c>
      <c r="J78" s="9" t="s">
        <v>33</v>
      </c>
      <c r="K78" s="9">
        <v>8.1</v>
      </c>
      <c r="L78" s="2">
        <v>2</v>
      </c>
      <c r="M78" s="2">
        <v>4</v>
      </c>
      <c r="N78" s="2">
        <v>0</v>
      </c>
      <c r="P78" s="4">
        <f t="shared" si="79"/>
        <v>1</v>
      </c>
    </row>
    <row r="79" spans="1:16" x14ac:dyDescent="0.25">
      <c r="A79" s="1" t="str">
        <f>A20</f>
        <v>P24</v>
      </c>
      <c r="B79" s="1">
        <f>B20</f>
        <v>24</v>
      </c>
      <c r="C79" s="1">
        <f>C20</f>
        <v>18</v>
      </c>
      <c r="D79" s="1">
        <f>D20</f>
        <v>4</v>
      </c>
      <c r="E79" s="1">
        <f>E20</f>
        <v>8</v>
      </c>
      <c r="F79" s="2">
        <f>F20+1</f>
        <v>2</v>
      </c>
      <c r="H79" s="9" t="s">
        <v>92</v>
      </c>
      <c r="I79" s="9" t="s">
        <v>51</v>
      </c>
      <c r="J79" s="9" t="s">
        <v>33</v>
      </c>
      <c r="K79" s="9">
        <v>16.059999999999999</v>
      </c>
      <c r="L79" s="2">
        <v>4</v>
      </c>
      <c r="M79" s="2">
        <v>8</v>
      </c>
      <c r="N79" s="2">
        <v>0.01</v>
      </c>
      <c r="P79" s="4">
        <f t="shared" si="79"/>
        <v>1</v>
      </c>
    </row>
    <row r="80" spans="1:16" x14ac:dyDescent="0.25">
      <c r="A80" s="1" t="str">
        <f>A21</f>
        <v>P24</v>
      </c>
      <c r="B80" s="1">
        <f>B21</f>
        <v>24</v>
      </c>
      <c r="C80" s="1">
        <f>C21</f>
        <v>20</v>
      </c>
      <c r="D80" s="1">
        <f>D21</f>
        <v>4</v>
      </c>
      <c r="E80" s="1">
        <f>E21</f>
        <v>7</v>
      </c>
      <c r="F80" s="2">
        <f>F21+1</f>
        <v>2</v>
      </c>
      <c r="H80" s="9" t="s">
        <v>92</v>
      </c>
      <c r="I80" s="9" t="s">
        <v>52</v>
      </c>
      <c r="J80" s="9" t="s">
        <v>33</v>
      </c>
      <c r="K80" s="9">
        <v>16.16</v>
      </c>
      <c r="L80" s="2">
        <v>4</v>
      </c>
      <c r="M80" s="2">
        <v>8</v>
      </c>
      <c r="N80" s="2">
        <v>300</v>
      </c>
      <c r="P80" s="4">
        <f t="shared" si="79"/>
        <v>0</v>
      </c>
    </row>
    <row r="81" spans="1:16" x14ac:dyDescent="0.25">
      <c r="A81" s="1" t="str">
        <f>A22</f>
        <v>P24</v>
      </c>
      <c r="B81" s="1">
        <f>B22</f>
        <v>24</v>
      </c>
      <c r="C81" s="1">
        <f>C22</f>
        <v>24</v>
      </c>
      <c r="D81" s="1">
        <f>D22</f>
        <v>3</v>
      </c>
      <c r="E81" s="1">
        <f>E22</f>
        <v>6</v>
      </c>
      <c r="F81" s="2">
        <f>F22+1</f>
        <v>2</v>
      </c>
      <c r="H81" s="9" t="s">
        <v>92</v>
      </c>
      <c r="I81" s="9" t="s">
        <v>53</v>
      </c>
      <c r="J81" s="9" t="s">
        <v>33</v>
      </c>
      <c r="K81" s="9">
        <v>12.03</v>
      </c>
      <c r="L81" s="2">
        <v>3</v>
      </c>
      <c r="M81" s="2">
        <v>6</v>
      </c>
      <c r="N81" s="2">
        <v>0</v>
      </c>
      <c r="P81" s="4">
        <f t="shared" si="79"/>
        <v>1</v>
      </c>
    </row>
    <row r="82" spans="1:16" x14ac:dyDescent="0.25">
      <c r="A82" s="1" t="str">
        <f>A23</f>
        <v>P24</v>
      </c>
      <c r="B82" s="1">
        <f>B23</f>
        <v>24</v>
      </c>
      <c r="C82" s="1">
        <f>C23</f>
        <v>25</v>
      </c>
      <c r="D82" s="1">
        <f>D23</f>
        <v>3</v>
      </c>
      <c r="E82" s="1">
        <f>E23</f>
        <v>6</v>
      </c>
      <c r="F82" s="2">
        <f>F23+1</f>
        <v>2</v>
      </c>
      <c r="H82" s="9" t="s">
        <v>92</v>
      </c>
      <c r="I82" s="9" t="s">
        <v>54</v>
      </c>
      <c r="J82" s="9" t="s">
        <v>33</v>
      </c>
      <c r="K82" s="9">
        <v>12.09</v>
      </c>
      <c r="L82" s="2">
        <v>3</v>
      </c>
      <c r="M82" s="2">
        <v>6</v>
      </c>
      <c r="N82" s="2">
        <v>0</v>
      </c>
      <c r="P82" s="4">
        <f t="shared" si="79"/>
        <v>1</v>
      </c>
    </row>
    <row r="83" spans="1:16" x14ac:dyDescent="0.25">
      <c r="A83" s="1" t="str">
        <f>A24</f>
        <v>P24</v>
      </c>
      <c r="B83" s="1">
        <f>B24</f>
        <v>24</v>
      </c>
      <c r="C83" s="1">
        <f>C24</f>
        <v>30</v>
      </c>
      <c r="D83" s="1">
        <f>D24</f>
        <v>3</v>
      </c>
      <c r="E83" s="1">
        <f>E24</f>
        <v>5</v>
      </c>
      <c r="F83" s="2">
        <f>F24+1</f>
        <v>2</v>
      </c>
      <c r="H83" s="9" t="s">
        <v>92</v>
      </c>
      <c r="I83" s="9" t="s">
        <v>55</v>
      </c>
      <c r="J83" s="9" t="s">
        <v>33</v>
      </c>
      <c r="K83" s="9">
        <v>11.26</v>
      </c>
      <c r="L83" s="2">
        <v>3</v>
      </c>
      <c r="M83" s="2">
        <v>5</v>
      </c>
      <c r="N83" s="2">
        <v>0</v>
      </c>
      <c r="P83" s="4">
        <f t="shared" si="79"/>
        <v>1</v>
      </c>
    </row>
    <row r="84" spans="1:16" x14ac:dyDescent="0.25">
      <c r="A84" s="1" t="str">
        <f>A25</f>
        <v>P24</v>
      </c>
      <c r="B84" s="1">
        <f>B25</f>
        <v>24</v>
      </c>
      <c r="C84" s="1">
        <f>C25</f>
        <v>35</v>
      </c>
      <c r="D84" s="1">
        <f>D25</f>
        <v>2</v>
      </c>
      <c r="E84" s="1">
        <f>E25</f>
        <v>4</v>
      </c>
      <c r="F84" s="2">
        <f>F25+1</f>
        <v>2</v>
      </c>
      <c r="H84" s="9" t="s">
        <v>92</v>
      </c>
      <c r="I84" s="9" t="s">
        <v>56</v>
      </c>
      <c r="J84" s="9" t="s">
        <v>33</v>
      </c>
      <c r="K84" s="9">
        <v>8</v>
      </c>
      <c r="L84" s="2">
        <v>2</v>
      </c>
      <c r="M84" s="2">
        <v>4</v>
      </c>
      <c r="N84" s="2">
        <v>0</v>
      </c>
      <c r="P84" s="4">
        <f t="shared" si="79"/>
        <v>1</v>
      </c>
    </row>
    <row r="85" spans="1:16" x14ac:dyDescent="0.25">
      <c r="A85" s="1" t="str">
        <f>A26</f>
        <v>P24</v>
      </c>
      <c r="B85" s="1">
        <f>B26</f>
        <v>24</v>
      </c>
      <c r="C85" s="1">
        <f>C26</f>
        <v>40</v>
      </c>
      <c r="D85" s="1">
        <f>D26</f>
        <v>2</v>
      </c>
      <c r="E85" s="1">
        <f>E26</f>
        <v>4</v>
      </c>
      <c r="F85" s="2">
        <f>F26+1</f>
        <v>2</v>
      </c>
      <c r="H85" s="9" t="s">
        <v>92</v>
      </c>
      <c r="I85" s="9" t="s">
        <v>57</v>
      </c>
      <c r="J85" s="9" t="s">
        <v>33</v>
      </c>
      <c r="K85" s="9">
        <v>8.1199999999999992</v>
      </c>
      <c r="L85" s="2">
        <v>2</v>
      </c>
      <c r="M85" s="2">
        <v>4</v>
      </c>
      <c r="N85" s="2">
        <v>0</v>
      </c>
      <c r="P85" s="4">
        <f t="shared" si="79"/>
        <v>1</v>
      </c>
    </row>
    <row r="86" spans="1:16" x14ac:dyDescent="0.25">
      <c r="A86" s="1" t="str">
        <f>A27</f>
        <v>P65</v>
      </c>
      <c r="B86" s="1">
        <f>B27</f>
        <v>65</v>
      </c>
      <c r="C86" s="1">
        <f>C27</f>
        <v>326</v>
      </c>
      <c r="D86" s="1">
        <f>D27</f>
        <v>8</v>
      </c>
      <c r="E86" s="1">
        <f>E27</f>
        <v>16</v>
      </c>
      <c r="F86" s="2">
        <f>F27+1</f>
        <v>2</v>
      </c>
      <c r="H86" s="9" t="s">
        <v>92</v>
      </c>
      <c r="I86" s="9" t="s">
        <v>58</v>
      </c>
      <c r="J86" s="9" t="s">
        <v>33</v>
      </c>
      <c r="K86" s="9">
        <v>35.229999999999997</v>
      </c>
      <c r="L86" s="2">
        <v>9</v>
      </c>
      <c r="M86" s="2">
        <v>17</v>
      </c>
      <c r="N86" s="2">
        <v>300.01</v>
      </c>
      <c r="P86" s="4">
        <f t="shared" si="79"/>
        <v>0</v>
      </c>
    </row>
    <row r="87" spans="1:16" x14ac:dyDescent="0.25">
      <c r="A87" s="1" t="str">
        <f>A28</f>
        <v>P65</v>
      </c>
      <c r="B87" s="1">
        <f>B28</f>
        <v>65</v>
      </c>
      <c r="C87" s="1">
        <f>C28</f>
        <v>381</v>
      </c>
      <c r="D87" s="1">
        <f>D28</f>
        <v>7</v>
      </c>
      <c r="E87" s="1">
        <f>E28</f>
        <v>14</v>
      </c>
      <c r="F87" s="2">
        <f>F28+1</f>
        <v>2</v>
      </c>
      <c r="H87" s="9" t="s">
        <v>92</v>
      </c>
      <c r="I87" s="9" t="s">
        <v>59</v>
      </c>
      <c r="J87" s="9" t="s">
        <v>33</v>
      </c>
      <c r="K87" s="9">
        <v>28.15</v>
      </c>
      <c r="L87" s="2">
        <v>7</v>
      </c>
      <c r="M87" s="2">
        <v>14</v>
      </c>
      <c r="N87" s="2">
        <v>0.28000000000000003</v>
      </c>
      <c r="P87" s="4">
        <f t="shared" si="79"/>
        <v>1</v>
      </c>
    </row>
    <row r="88" spans="1:16" x14ac:dyDescent="0.25">
      <c r="A88" s="1" t="str">
        <f>A29</f>
        <v>P65</v>
      </c>
      <c r="B88" s="1">
        <f>B29</f>
        <v>65</v>
      </c>
      <c r="C88" s="1">
        <f>C29</f>
        <v>435</v>
      </c>
      <c r="D88" s="1">
        <f>D29</f>
        <v>6</v>
      </c>
      <c r="E88" s="1">
        <f>E29</f>
        <v>12</v>
      </c>
      <c r="F88" s="2">
        <f>F29+1</f>
        <v>2</v>
      </c>
      <c r="H88" s="9" t="s">
        <v>92</v>
      </c>
      <c r="I88" s="9" t="s">
        <v>60</v>
      </c>
      <c r="J88" s="9" t="s">
        <v>33</v>
      </c>
      <c r="K88" s="9">
        <v>24.08</v>
      </c>
      <c r="L88" s="2">
        <v>6</v>
      </c>
      <c r="M88" s="2">
        <v>12</v>
      </c>
      <c r="N88" s="2">
        <v>0.16</v>
      </c>
      <c r="P88" s="4">
        <f t="shared" si="79"/>
        <v>1</v>
      </c>
    </row>
    <row r="89" spans="1:16" x14ac:dyDescent="0.25">
      <c r="A89" s="1" t="str">
        <f>A30</f>
        <v>P65</v>
      </c>
      <c r="B89" s="1">
        <f>B30</f>
        <v>65</v>
      </c>
      <c r="C89" s="1">
        <f>C30</f>
        <v>490</v>
      </c>
      <c r="D89" s="1">
        <f>D30</f>
        <v>6</v>
      </c>
      <c r="E89" s="1">
        <f>E30</f>
        <v>11</v>
      </c>
      <c r="F89" s="2">
        <f>F30+1</f>
        <v>2</v>
      </c>
      <c r="H89" s="9" t="s">
        <v>92</v>
      </c>
      <c r="I89" s="9" t="s">
        <v>61</v>
      </c>
      <c r="J89" s="9" t="s">
        <v>33</v>
      </c>
      <c r="K89" s="9">
        <v>23.26</v>
      </c>
      <c r="L89" s="2">
        <v>6</v>
      </c>
      <c r="M89" s="2">
        <v>11</v>
      </c>
      <c r="N89" s="2">
        <v>0.04</v>
      </c>
      <c r="P89" s="4">
        <f t="shared" si="79"/>
        <v>1</v>
      </c>
    </row>
    <row r="90" spans="1:16" x14ac:dyDescent="0.25">
      <c r="A90" s="1" t="str">
        <f>A31</f>
        <v>P65</v>
      </c>
      <c r="B90" s="1">
        <f>B31</f>
        <v>65</v>
      </c>
      <c r="C90" s="1">
        <f>C31</f>
        <v>512</v>
      </c>
      <c r="D90" s="1">
        <f>D31</f>
        <v>5</v>
      </c>
      <c r="E90" s="1">
        <f>E31</f>
        <v>10</v>
      </c>
      <c r="F90" s="2">
        <f>F31+1</f>
        <v>2</v>
      </c>
      <c r="H90" s="9" t="s">
        <v>92</v>
      </c>
      <c r="I90" s="9" t="s">
        <v>62</v>
      </c>
      <c r="J90" s="9" t="s">
        <v>33</v>
      </c>
      <c r="K90" s="9">
        <v>23.22</v>
      </c>
      <c r="L90" s="2">
        <v>6</v>
      </c>
      <c r="M90" s="2">
        <v>11</v>
      </c>
      <c r="N90" s="2">
        <v>300</v>
      </c>
      <c r="P90" s="4">
        <f t="shared" si="79"/>
        <v>0</v>
      </c>
    </row>
    <row r="91" spans="1:16" x14ac:dyDescent="0.25">
      <c r="A91" s="1" t="str">
        <f>A32</f>
        <v>P65</v>
      </c>
      <c r="B91" s="1">
        <f>B32</f>
        <v>65</v>
      </c>
      <c r="C91" s="1">
        <f>C32</f>
        <v>544</v>
      </c>
      <c r="D91" s="1">
        <f>D32</f>
        <v>5</v>
      </c>
      <c r="E91" s="1">
        <f>E32</f>
        <v>10</v>
      </c>
      <c r="F91" s="2">
        <f>F32+1</f>
        <v>2</v>
      </c>
      <c r="H91" s="9" t="s">
        <v>92</v>
      </c>
      <c r="I91" s="9" t="s">
        <v>63</v>
      </c>
      <c r="J91" s="9" t="s">
        <v>33</v>
      </c>
      <c r="K91" s="9">
        <v>20.11</v>
      </c>
      <c r="L91" s="2">
        <v>5</v>
      </c>
      <c r="M91" s="2">
        <v>10</v>
      </c>
      <c r="N91" s="2">
        <v>0.03</v>
      </c>
      <c r="P91" s="4">
        <f t="shared" si="79"/>
        <v>1</v>
      </c>
    </row>
    <row r="92" spans="1:16" x14ac:dyDescent="0.25">
      <c r="A92" s="1" t="str">
        <f>A33</f>
        <v>P148</v>
      </c>
      <c r="B92" s="1">
        <f>B33</f>
        <v>148</v>
      </c>
      <c r="C92" s="1">
        <f>C33</f>
        <v>204</v>
      </c>
      <c r="D92" s="1">
        <f>D33</f>
        <v>13</v>
      </c>
      <c r="E92" s="1">
        <f>E33</f>
        <v>26</v>
      </c>
      <c r="F92" s="2">
        <f>F33+1</f>
        <v>2</v>
      </c>
      <c r="H92" s="9" t="s">
        <v>92</v>
      </c>
      <c r="I92" s="9" t="s">
        <v>64</v>
      </c>
      <c r="J92" s="9" t="s">
        <v>33</v>
      </c>
      <c r="K92" s="9">
        <v>52.15</v>
      </c>
      <c r="L92" s="2">
        <v>13</v>
      </c>
      <c r="M92" s="2">
        <v>26</v>
      </c>
      <c r="N92" s="2">
        <v>0.28999999999999998</v>
      </c>
      <c r="P92" s="4">
        <f t="shared" si="79"/>
        <v>1</v>
      </c>
    </row>
    <row r="93" spans="1:16" x14ac:dyDescent="0.25">
      <c r="A93" s="1" t="str">
        <f t="shared" ref="A93:E108" si="80">A34</f>
        <v>P148</v>
      </c>
      <c r="B93" s="1">
        <f t="shared" si="80"/>
        <v>148</v>
      </c>
      <c r="C93" s="1">
        <f t="shared" si="80"/>
        <v>228</v>
      </c>
      <c r="D93" s="1">
        <f t="shared" si="80"/>
        <v>12</v>
      </c>
      <c r="E93" s="1">
        <f t="shared" si="80"/>
        <v>23</v>
      </c>
      <c r="F93" s="2">
        <f>F34+1</f>
        <v>2</v>
      </c>
      <c r="H93" s="9" t="s">
        <v>92</v>
      </c>
      <c r="I93" s="9" t="s">
        <v>65</v>
      </c>
      <c r="J93" s="9" t="s">
        <v>33</v>
      </c>
      <c r="K93" s="9">
        <v>48.2</v>
      </c>
      <c r="L93" s="2">
        <v>12</v>
      </c>
      <c r="M93" s="2">
        <v>24</v>
      </c>
      <c r="N93" s="2">
        <v>300.02</v>
      </c>
      <c r="P93" s="4">
        <f t="shared" si="79"/>
        <v>0</v>
      </c>
    </row>
    <row r="94" spans="1:16" x14ac:dyDescent="0.25">
      <c r="A94" s="1" t="str">
        <f t="shared" si="80"/>
        <v>P148</v>
      </c>
      <c r="B94" s="1">
        <f t="shared" si="80"/>
        <v>148</v>
      </c>
      <c r="C94" s="1">
        <f t="shared" si="80"/>
        <v>255</v>
      </c>
      <c r="D94" s="1">
        <f t="shared" si="80"/>
        <v>11</v>
      </c>
      <c r="E94" s="1">
        <f t="shared" si="80"/>
        <v>21</v>
      </c>
      <c r="F94" s="2">
        <f>F35+1</f>
        <v>2</v>
      </c>
      <c r="H94" s="9" t="s">
        <v>92</v>
      </c>
      <c r="I94" s="9" t="s">
        <v>66</v>
      </c>
      <c r="J94" s="9" t="s">
        <v>33</v>
      </c>
      <c r="K94" s="9">
        <v>43.19</v>
      </c>
      <c r="L94" s="2">
        <v>11</v>
      </c>
      <c r="M94" s="2">
        <v>21</v>
      </c>
      <c r="N94" s="2">
        <v>7.0000000000000007E-2</v>
      </c>
      <c r="P94" s="4">
        <f t="shared" si="79"/>
        <v>1</v>
      </c>
    </row>
    <row r="95" spans="1:16" x14ac:dyDescent="0.25">
      <c r="A95" s="1" t="str">
        <f t="shared" si="80"/>
        <v>P148</v>
      </c>
      <c r="B95" s="1">
        <f t="shared" si="80"/>
        <v>148</v>
      </c>
      <c r="C95" s="1">
        <f t="shared" si="80"/>
        <v>306</v>
      </c>
      <c r="D95" s="1">
        <f t="shared" si="80"/>
        <v>9</v>
      </c>
      <c r="E95" s="1">
        <f t="shared" si="80"/>
        <v>17</v>
      </c>
      <c r="F95" s="2">
        <f>F36+1</f>
        <v>2</v>
      </c>
      <c r="H95" s="9" t="s">
        <v>92</v>
      </c>
      <c r="I95" s="9" t="s">
        <v>67</v>
      </c>
      <c r="J95" s="9" t="s">
        <v>33</v>
      </c>
      <c r="K95" s="9">
        <v>35.119999999999997</v>
      </c>
      <c r="L95" s="2">
        <v>9</v>
      </c>
      <c r="M95" s="2">
        <v>17</v>
      </c>
      <c r="N95" s="2">
        <v>0.21</v>
      </c>
      <c r="P95" s="4">
        <f t="shared" si="79"/>
        <v>1</v>
      </c>
    </row>
    <row r="96" spans="1:16" x14ac:dyDescent="0.25">
      <c r="A96" s="1" t="str">
        <f t="shared" si="80"/>
        <v>P148</v>
      </c>
      <c r="B96" s="1">
        <f t="shared" si="80"/>
        <v>148</v>
      </c>
      <c r="C96" s="1">
        <f t="shared" si="80"/>
        <v>357</v>
      </c>
      <c r="D96" s="1">
        <f t="shared" si="80"/>
        <v>8</v>
      </c>
      <c r="E96" s="1">
        <f t="shared" si="80"/>
        <v>15</v>
      </c>
      <c r="F96" s="2">
        <f>F37+1</f>
        <v>2</v>
      </c>
      <c r="H96" s="9" t="s">
        <v>92</v>
      </c>
      <c r="I96" s="9" t="s">
        <v>68</v>
      </c>
      <c r="J96" s="9" t="s">
        <v>33</v>
      </c>
      <c r="K96" s="9">
        <v>31.2</v>
      </c>
      <c r="L96" s="2">
        <v>8</v>
      </c>
      <c r="M96" s="2">
        <v>15</v>
      </c>
      <c r="N96" s="2">
        <v>0.03</v>
      </c>
      <c r="P96" s="4">
        <f t="shared" si="79"/>
        <v>1</v>
      </c>
    </row>
    <row r="97" spans="1:16" x14ac:dyDescent="0.25">
      <c r="A97" s="1" t="str">
        <f t="shared" si="80"/>
        <v>P148</v>
      </c>
      <c r="B97" s="1">
        <f t="shared" si="80"/>
        <v>148</v>
      </c>
      <c r="C97" s="1">
        <f t="shared" si="80"/>
        <v>378</v>
      </c>
      <c r="D97" s="1">
        <f t="shared" si="80"/>
        <v>7</v>
      </c>
      <c r="E97" s="1">
        <f t="shared" si="80"/>
        <v>14</v>
      </c>
      <c r="F97" s="2">
        <f>F38+1</f>
        <v>2</v>
      </c>
      <c r="H97" s="9" t="s">
        <v>92</v>
      </c>
      <c r="I97" s="9" t="s">
        <v>69</v>
      </c>
      <c r="J97" s="9" t="s">
        <v>33</v>
      </c>
      <c r="K97" s="9">
        <v>28.06</v>
      </c>
      <c r="L97" s="2">
        <v>7</v>
      </c>
      <c r="M97" s="2">
        <v>14</v>
      </c>
      <c r="N97" s="2">
        <v>1.44</v>
      </c>
      <c r="P97" s="4">
        <f t="shared" si="79"/>
        <v>1</v>
      </c>
    </row>
    <row r="98" spans="1:16" x14ac:dyDescent="0.25">
      <c r="A98" s="1" t="str">
        <f t="shared" si="80"/>
        <v>P148</v>
      </c>
      <c r="B98" s="1">
        <f t="shared" si="80"/>
        <v>148</v>
      </c>
      <c r="C98" s="1">
        <f t="shared" si="80"/>
        <v>408</v>
      </c>
      <c r="D98" s="1">
        <f t="shared" si="80"/>
        <v>7</v>
      </c>
      <c r="E98" s="1">
        <f t="shared" si="80"/>
        <v>13</v>
      </c>
      <c r="F98" s="2">
        <f>F39+1</f>
        <v>2</v>
      </c>
      <c r="H98" s="9" t="s">
        <v>92</v>
      </c>
      <c r="I98" s="9" t="s">
        <v>70</v>
      </c>
      <c r="J98" s="9" t="s">
        <v>33</v>
      </c>
      <c r="K98" s="9">
        <v>27.19</v>
      </c>
      <c r="L98" s="2">
        <v>7</v>
      </c>
      <c r="M98" s="2">
        <v>13</v>
      </c>
      <c r="N98" s="2">
        <v>0.17</v>
      </c>
      <c r="P98" s="4">
        <f t="shared" si="79"/>
        <v>1</v>
      </c>
    </row>
    <row r="99" spans="1:16" x14ac:dyDescent="0.25">
      <c r="A99" s="1" t="str">
        <f t="shared" si="80"/>
        <v>P148</v>
      </c>
      <c r="B99" s="1">
        <f t="shared" si="80"/>
        <v>148</v>
      </c>
      <c r="C99" s="1">
        <f t="shared" si="80"/>
        <v>454</v>
      </c>
      <c r="D99" s="1">
        <f t="shared" si="80"/>
        <v>6</v>
      </c>
      <c r="E99" s="1">
        <f t="shared" si="80"/>
        <v>12</v>
      </c>
      <c r="F99" s="2">
        <f>F40+1</f>
        <v>2</v>
      </c>
      <c r="H99" s="9" t="s">
        <v>92</v>
      </c>
      <c r="I99" s="9" t="s">
        <v>71</v>
      </c>
      <c r="J99" s="9" t="s">
        <v>33</v>
      </c>
      <c r="K99" s="9">
        <v>24.13</v>
      </c>
      <c r="L99" s="2">
        <v>6</v>
      </c>
      <c r="M99" s="2">
        <v>12</v>
      </c>
      <c r="N99" s="2">
        <v>2.21</v>
      </c>
      <c r="P99" s="4">
        <f t="shared" si="79"/>
        <v>1</v>
      </c>
    </row>
    <row r="100" spans="1:16" x14ac:dyDescent="0.25">
      <c r="A100" s="1" t="str">
        <f t="shared" si="80"/>
        <v>P148</v>
      </c>
      <c r="B100" s="1">
        <f t="shared" si="80"/>
        <v>148</v>
      </c>
      <c r="C100" s="1">
        <f t="shared" si="80"/>
        <v>459</v>
      </c>
      <c r="D100" s="1">
        <f t="shared" si="80"/>
        <v>6</v>
      </c>
      <c r="E100" s="1">
        <f t="shared" si="80"/>
        <v>12</v>
      </c>
      <c r="F100" s="2">
        <f>F41+1</f>
        <v>2</v>
      </c>
      <c r="H100" s="9" t="s">
        <v>92</v>
      </c>
      <c r="I100" s="9" t="s">
        <v>72</v>
      </c>
      <c r="J100" s="9" t="s">
        <v>33</v>
      </c>
      <c r="K100" s="9">
        <v>24.13</v>
      </c>
      <c r="L100" s="2">
        <v>6</v>
      </c>
      <c r="M100" s="2">
        <v>12</v>
      </c>
      <c r="N100" s="2">
        <v>0.1</v>
      </c>
      <c r="P100" s="4">
        <f t="shared" si="79"/>
        <v>1</v>
      </c>
    </row>
    <row r="101" spans="1:16" x14ac:dyDescent="0.25">
      <c r="A101" s="1" t="str">
        <f t="shared" si="80"/>
        <v>P148</v>
      </c>
      <c r="B101" s="1">
        <f t="shared" si="80"/>
        <v>148</v>
      </c>
      <c r="C101" s="1">
        <f t="shared" si="80"/>
        <v>510</v>
      </c>
      <c r="D101" s="1">
        <f t="shared" si="80"/>
        <v>6</v>
      </c>
      <c r="E101" s="1">
        <f t="shared" si="80"/>
        <v>11</v>
      </c>
      <c r="F101" s="2">
        <f>F42+1</f>
        <v>2</v>
      </c>
      <c r="H101" s="9" t="s">
        <v>92</v>
      </c>
      <c r="I101" s="9" t="s">
        <v>73</v>
      </c>
      <c r="J101" s="9" t="s">
        <v>33</v>
      </c>
      <c r="K101" s="9">
        <v>23.26</v>
      </c>
      <c r="L101" s="2">
        <v>6</v>
      </c>
      <c r="M101" s="2">
        <v>11</v>
      </c>
      <c r="N101" s="2">
        <v>0.03</v>
      </c>
      <c r="P101" s="4">
        <f t="shared" si="79"/>
        <v>1</v>
      </c>
    </row>
    <row r="102" spans="1:16" x14ac:dyDescent="0.25">
      <c r="A102" s="1" t="str">
        <f t="shared" si="80"/>
        <v>P205</v>
      </c>
      <c r="B102" s="1">
        <f t="shared" si="80"/>
        <v>205</v>
      </c>
      <c r="C102" s="1">
        <f t="shared" si="80"/>
        <v>1133</v>
      </c>
      <c r="D102" s="1">
        <f t="shared" si="80"/>
        <v>11</v>
      </c>
      <c r="E102" s="1">
        <f t="shared" si="80"/>
        <v>21</v>
      </c>
      <c r="F102" s="2">
        <f>F43+1</f>
        <v>2</v>
      </c>
      <c r="H102" s="9" t="s">
        <v>92</v>
      </c>
      <c r="I102" s="9" t="s">
        <v>74</v>
      </c>
      <c r="J102" s="9" t="s">
        <v>33</v>
      </c>
      <c r="K102" s="9">
        <v>47.78</v>
      </c>
      <c r="L102" s="2">
        <v>12</v>
      </c>
      <c r="M102" s="2">
        <v>23</v>
      </c>
      <c r="N102" s="2">
        <v>300.04000000000002</v>
      </c>
      <c r="P102" s="4">
        <f t="shared" si="79"/>
        <v>0</v>
      </c>
    </row>
    <row r="103" spans="1:16" x14ac:dyDescent="0.25">
      <c r="A103" s="1" t="str">
        <f t="shared" si="80"/>
        <v>P205</v>
      </c>
      <c r="B103" s="1">
        <f t="shared" si="80"/>
        <v>205</v>
      </c>
      <c r="C103" s="1">
        <f t="shared" si="80"/>
        <v>1275</v>
      </c>
      <c r="D103" s="1">
        <f t="shared" si="80"/>
        <v>10</v>
      </c>
      <c r="E103" s="1">
        <f t="shared" si="80"/>
        <v>19</v>
      </c>
      <c r="F103" s="2">
        <f>F44+1</f>
        <v>2</v>
      </c>
      <c r="H103" s="9" t="s">
        <v>92</v>
      </c>
      <c r="I103" s="9" t="s">
        <v>75</v>
      </c>
      <c r="J103" s="9" t="s">
        <v>33</v>
      </c>
      <c r="K103" s="9">
        <v>40.299999999999997</v>
      </c>
      <c r="L103" s="2">
        <v>10</v>
      </c>
      <c r="M103" s="2">
        <v>20</v>
      </c>
      <c r="N103" s="2">
        <v>300.01</v>
      </c>
      <c r="P103" s="4">
        <f t="shared" si="79"/>
        <v>0</v>
      </c>
    </row>
    <row r="104" spans="1:16" x14ac:dyDescent="0.25">
      <c r="A104" s="1" t="str">
        <f t="shared" si="80"/>
        <v>P205</v>
      </c>
      <c r="B104" s="1">
        <f t="shared" si="80"/>
        <v>205</v>
      </c>
      <c r="C104" s="1">
        <f t="shared" si="80"/>
        <v>1322</v>
      </c>
      <c r="D104" s="1">
        <f t="shared" si="80"/>
        <v>9</v>
      </c>
      <c r="E104" s="1">
        <f t="shared" si="80"/>
        <v>18</v>
      </c>
      <c r="F104" s="2">
        <f>F45+1</f>
        <v>2</v>
      </c>
      <c r="H104" s="9" t="s">
        <v>92</v>
      </c>
      <c r="I104" s="9" t="s">
        <v>76</v>
      </c>
      <c r="J104" s="9" t="s">
        <v>33</v>
      </c>
      <c r="K104" s="9">
        <v>40.36</v>
      </c>
      <c r="L104" s="2">
        <v>10</v>
      </c>
      <c r="M104" s="2">
        <v>20</v>
      </c>
      <c r="N104" s="2">
        <v>300.04000000000002</v>
      </c>
      <c r="P104" s="4">
        <f t="shared" si="79"/>
        <v>0</v>
      </c>
    </row>
    <row r="105" spans="1:16" x14ac:dyDescent="0.25">
      <c r="A105" s="1" t="str">
        <f t="shared" si="80"/>
        <v>P205</v>
      </c>
      <c r="B105" s="1">
        <f t="shared" si="80"/>
        <v>205</v>
      </c>
      <c r="C105" s="1">
        <f t="shared" si="80"/>
        <v>1455</v>
      </c>
      <c r="D105" s="1">
        <f t="shared" si="80"/>
        <v>9</v>
      </c>
      <c r="E105" s="1">
        <f t="shared" si="80"/>
        <v>17</v>
      </c>
      <c r="F105" s="2">
        <f>F46+1</f>
        <v>2</v>
      </c>
      <c r="H105" s="9" t="s">
        <v>92</v>
      </c>
      <c r="I105" s="9" t="s">
        <v>77</v>
      </c>
      <c r="J105" s="9" t="s">
        <v>33</v>
      </c>
      <c r="K105" s="9">
        <v>36.29</v>
      </c>
      <c r="L105" s="2">
        <v>9</v>
      </c>
      <c r="M105" s="2">
        <v>18</v>
      </c>
      <c r="N105" s="2">
        <v>300.04000000000002</v>
      </c>
      <c r="P105" s="4">
        <f t="shared" si="79"/>
        <v>0</v>
      </c>
    </row>
    <row r="106" spans="1:16" x14ac:dyDescent="0.25">
      <c r="A106" s="1" t="str">
        <f t="shared" si="80"/>
        <v>P205</v>
      </c>
      <c r="B106" s="1">
        <f t="shared" si="80"/>
        <v>205</v>
      </c>
      <c r="C106" s="1">
        <f t="shared" si="80"/>
        <v>1510</v>
      </c>
      <c r="D106" s="1">
        <f t="shared" si="80"/>
        <v>8</v>
      </c>
      <c r="E106" s="1">
        <f t="shared" si="80"/>
        <v>16</v>
      </c>
      <c r="F106" s="2">
        <f>F47+1</f>
        <v>2</v>
      </c>
      <c r="H106" s="9" t="s">
        <v>92</v>
      </c>
      <c r="I106" s="9" t="s">
        <v>78</v>
      </c>
      <c r="J106" s="9" t="s">
        <v>33</v>
      </c>
      <c r="K106" s="9">
        <v>35.54</v>
      </c>
      <c r="L106" s="2">
        <v>9</v>
      </c>
      <c r="M106" s="2">
        <v>17</v>
      </c>
      <c r="N106" s="2">
        <v>300.01</v>
      </c>
      <c r="P106" s="4">
        <f t="shared" si="79"/>
        <v>0</v>
      </c>
    </row>
    <row r="107" spans="1:16" x14ac:dyDescent="0.25">
      <c r="A107" s="1" t="str">
        <f t="shared" si="80"/>
        <v>P205</v>
      </c>
      <c r="B107" s="1">
        <f t="shared" si="80"/>
        <v>205</v>
      </c>
      <c r="C107" s="1">
        <f t="shared" si="80"/>
        <v>1650</v>
      </c>
      <c r="D107" s="1">
        <f t="shared" si="80"/>
        <v>8</v>
      </c>
      <c r="E107" s="1">
        <f t="shared" si="80"/>
        <v>15</v>
      </c>
      <c r="F107" s="2">
        <f>F48+1</f>
        <v>2</v>
      </c>
      <c r="H107" s="9" t="s">
        <v>92</v>
      </c>
      <c r="I107" s="9" t="s">
        <v>79</v>
      </c>
      <c r="J107" s="9" t="s">
        <v>33</v>
      </c>
      <c r="K107" s="9">
        <v>32.33</v>
      </c>
      <c r="L107" s="2">
        <v>8</v>
      </c>
      <c r="M107" s="2">
        <v>16</v>
      </c>
      <c r="N107" s="2">
        <v>300.02999999999997</v>
      </c>
      <c r="P107" s="4">
        <f t="shared" si="79"/>
        <v>0</v>
      </c>
    </row>
    <row r="108" spans="1:16" x14ac:dyDescent="0.25">
      <c r="A108" s="1" t="str">
        <f t="shared" si="80"/>
        <v>P205</v>
      </c>
      <c r="B108" s="1">
        <f t="shared" si="80"/>
        <v>205</v>
      </c>
      <c r="C108" s="1">
        <f t="shared" si="80"/>
        <v>1699</v>
      </c>
      <c r="D108" s="1">
        <f t="shared" si="80"/>
        <v>7</v>
      </c>
      <c r="E108" s="1">
        <f t="shared" si="80"/>
        <v>14</v>
      </c>
      <c r="F108" s="2">
        <f>F49+1</f>
        <v>2</v>
      </c>
      <c r="H108" s="9" t="s">
        <v>92</v>
      </c>
      <c r="I108" s="9" t="s">
        <v>80</v>
      </c>
      <c r="J108" s="9" t="s">
        <v>33</v>
      </c>
      <c r="K108" s="9">
        <v>32.380000000000003</v>
      </c>
      <c r="L108" s="2">
        <v>8</v>
      </c>
      <c r="M108" s="2">
        <v>16</v>
      </c>
      <c r="N108" s="2">
        <v>300</v>
      </c>
      <c r="P108" s="4">
        <f t="shared" si="79"/>
        <v>0</v>
      </c>
    </row>
    <row r="109" spans="1:16" x14ac:dyDescent="0.25">
      <c r="A109" s="1" t="str">
        <f t="shared" ref="A109:E124" si="81">A50</f>
        <v>P205</v>
      </c>
      <c r="B109" s="1">
        <f t="shared" si="81"/>
        <v>205</v>
      </c>
      <c r="C109" s="1">
        <f t="shared" si="81"/>
        <v>1888</v>
      </c>
      <c r="D109" s="1">
        <f t="shared" si="81"/>
        <v>7</v>
      </c>
      <c r="E109" s="1">
        <f t="shared" si="81"/>
        <v>13</v>
      </c>
      <c r="F109" s="2">
        <f>F50+1</f>
        <v>2</v>
      </c>
      <c r="H109" s="9" t="s">
        <v>92</v>
      </c>
      <c r="I109" s="9" t="s">
        <v>81</v>
      </c>
      <c r="J109" s="9" t="s">
        <v>33</v>
      </c>
      <c r="K109" s="9">
        <v>28.22</v>
      </c>
      <c r="L109" s="2">
        <v>7</v>
      </c>
      <c r="M109" s="2">
        <v>14</v>
      </c>
      <c r="N109" s="2">
        <v>300</v>
      </c>
      <c r="P109" s="4">
        <f t="shared" si="79"/>
        <v>0</v>
      </c>
    </row>
    <row r="110" spans="1:16" x14ac:dyDescent="0.25">
      <c r="A110" s="1" t="str">
        <f t="shared" si="81"/>
        <v>P205</v>
      </c>
      <c r="B110" s="1">
        <f t="shared" si="81"/>
        <v>205</v>
      </c>
      <c r="C110" s="1">
        <f t="shared" si="81"/>
        <v>1920</v>
      </c>
      <c r="D110" s="1">
        <f t="shared" si="81"/>
        <v>7</v>
      </c>
      <c r="E110" s="1">
        <f t="shared" si="81"/>
        <v>13</v>
      </c>
      <c r="F110" s="2">
        <f>F51+1</f>
        <v>2</v>
      </c>
      <c r="H110" s="9" t="s">
        <v>92</v>
      </c>
      <c r="I110" s="9" t="s">
        <v>82</v>
      </c>
      <c r="J110" s="9" t="s">
        <v>33</v>
      </c>
      <c r="K110" s="9">
        <v>28.27</v>
      </c>
      <c r="L110" s="2">
        <v>7</v>
      </c>
      <c r="M110" s="2">
        <v>14</v>
      </c>
      <c r="N110" s="2">
        <v>300.04000000000002</v>
      </c>
      <c r="P110" s="4">
        <f t="shared" si="79"/>
        <v>0</v>
      </c>
    </row>
    <row r="111" spans="1:16" x14ac:dyDescent="0.25">
      <c r="A111" s="1" t="str">
        <f t="shared" si="81"/>
        <v>P205</v>
      </c>
      <c r="B111" s="1">
        <f t="shared" si="81"/>
        <v>205</v>
      </c>
      <c r="C111" s="1">
        <f t="shared" si="81"/>
        <v>2077</v>
      </c>
      <c r="D111" s="1">
        <f t="shared" si="81"/>
        <v>6</v>
      </c>
      <c r="E111" s="1">
        <f t="shared" si="81"/>
        <v>12</v>
      </c>
      <c r="F111" s="2">
        <f>F52+1</f>
        <v>2</v>
      </c>
      <c r="H111" s="9" t="s">
        <v>92</v>
      </c>
      <c r="I111" s="9" t="s">
        <v>83</v>
      </c>
      <c r="J111" s="9" t="s">
        <v>33</v>
      </c>
      <c r="K111" s="9">
        <v>27.44</v>
      </c>
      <c r="L111" s="2">
        <v>7</v>
      </c>
      <c r="M111" s="2">
        <v>13</v>
      </c>
      <c r="N111" s="2">
        <v>300.02</v>
      </c>
      <c r="P111" s="4">
        <f t="shared" si="79"/>
        <v>0</v>
      </c>
    </row>
    <row r="112" spans="1:16" x14ac:dyDescent="0.25">
      <c r="A112" s="1" t="str">
        <f t="shared" si="81"/>
        <v>P205</v>
      </c>
      <c r="B112" s="1">
        <f t="shared" si="81"/>
        <v>205</v>
      </c>
      <c r="C112" s="1">
        <f t="shared" si="81"/>
        <v>2100</v>
      </c>
      <c r="D112" s="1">
        <f t="shared" si="81"/>
        <v>6</v>
      </c>
      <c r="E112" s="1">
        <f t="shared" si="81"/>
        <v>12</v>
      </c>
      <c r="F112" s="2">
        <f>F53+1</f>
        <v>2</v>
      </c>
      <c r="H112" s="9" t="s">
        <v>92</v>
      </c>
      <c r="I112" s="9" t="s">
        <v>84</v>
      </c>
      <c r="J112" s="9" t="s">
        <v>33</v>
      </c>
      <c r="K112" s="9">
        <v>27.73</v>
      </c>
      <c r="L112" s="2">
        <v>7</v>
      </c>
      <c r="M112" s="2">
        <v>13</v>
      </c>
      <c r="N112" s="2">
        <v>300.04000000000002</v>
      </c>
      <c r="P112" s="4">
        <f t="shared" si="79"/>
        <v>0</v>
      </c>
    </row>
    <row r="113" spans="1:16" x14ac:dyDescent="0.25">
      <c r="A113" s="1" t="str">
        <f t="shared" si="81"/>
        <v>P205</v>
      </c>
      <c r="B113" s="1">
        <f t="shared" si="81"/>
        <v>205</v>
      </c>
      <c r="C113" s="1">
        <f t="shared" si="81"/>
        <v>2266</v>
      </c>
      <c r="D113" s="1">
        <f t="shared" si="81"/>
        <v>6</v>
      </c>
      <c r="E113" s="1">
        <f t="shared" si="81"/>
        <v>11</v>
      </c>
      <c r="F113" s="2">
        <f>F54+1</f>
        <v>2</v>
      </c>
      <c r="H113" s="9" t="s">
        <v>92</v>
      </c>
      <c r="I113" s="9" t="s">
        <v>85</v>
      </c>
      <c r="J113" s="9" t="s">
        <v>33</v>
      </c>
      <c r="K113" s="9">
        <v>24.26</v>
      </c>
      <c r="L113" s="2">
        <v>6</v>
      </c>
      <c r="M113" s="2">
        <v>12</v>
      </c>
      <c r="N113" s="2">
        <v>300.04000000000002</v>
      </c>
      <c r="P113" s="4">
        <f t="shared" si="79"/>
        <v>0</v>
      </c>
    </row>
    <row r="114" spans="1:16" x14ac:dyDescent="0.25">
      <c r="A114" s="1" t="str">
        <f t="shared" si="81"/>
        <v>P205</v>
      </c>
      <c r="B114" s="1">
        <f t="shared" si="81"/>
        <v>205</v>
      </c>
      <c r="C114" s="1">
        <f t="shared" si="81"/>
        <v>2300</v>
      </c>
      <c r="D114" s="1">
        <f t="shared" si="81"/>
        <v>6</v>
      </c>
      <c r="E114" s="1">
        <f t="shared" si="81"/>
        <v>11</v>
      </c>
      <c r="F114" s="2">
        <f>F55+1</f>
        <v>2</v>
      </c>
      <c r="H114" s="9" t="s">
        <v>92</v>
      </c>
      <c r="I114" s="9" t="s">
        <v>86</v>
      </c>
      <c r="J114" s="9" t="s">
        <v>33</v>
      </c>
      <c r="K114" s="9">
        <v>24.29</v>
      </c>
      <c r="L114" s="2">
        <v>6</v>
      </c>
      <c r="M114" s="2">
        <v>12</v>
      </c>
      <c r="N114" s="2">
        <v>300.02999999999997</v>
      </c>
      <c r="P114" s="4">
        <f t="shared" si="79"/>
        <v>0</v>
      </c>
    </row>
    <row r="115" spans="1:16" x14ac:dyDescent="0.25">
      <c r="A115" s="1" t="str">
        <f t="shared" si="81"/>
        <v>P205</v>
      </c>
      <c r="B115" s="1">
        <f t="shared" si="81"/>
        <v>205</v>
      </c>
      <c r="C115" s="1">
        <f t="shared" si="81"/>
        <v>2454</v>
      </c>
      <c r="D115" s="1">
        <f t="shared" si="81"/>
        <v>5</v>
      </c>
      <c r="E115" s="1">
        <f t="shared" si="81"/>
        <v>10</v>
      </c>
      <c r="F115" s="2">
        <f>F56+1</f>
        <v>2</v>
      </c>
      <c r="H115" s="9" t="s">
        <v>92</v>
      </c>
      <c r="I115" s="9" t="s">
        <v>87</v>
      </c>
      <c r="J115" s="9" t="s">
        <v>33</v>
      </c>
      <c r="K115" s="9">
        <v>24.41</v>
      </c>
      <c r="L115" s="2">
        <v>6</v>
      </c>
      <c r="M115" s="2">
        <v>12</v>
      </c>
      <c r="N115" s="2">
        <v>300.02</v>
      </c>
      <c r="P115" s="4">
        <f t="shared" si="79"/>
        <v>0</v>
      </c>
    </row>
    <row r="116" spans="1:16" x14ac:dyDescent="0.25">
      <c r="A116" s="1" t="str">
        <f t="shared" si="81"/>
        <v>P205</v>
      </c>
      <c r="B116" s="1">
        <f t="shared" si="81"/>
        <v>205</v>
      </c>
      <c r="C116" s="1">
        <f t="shared" si="81"/>
        <v>2500</v>
      </c>
      <c r="D116" s="1">
        <f t="shared" si="81"/>
        <v>5</v>
      </c>
      <c r="E116" s="1">
        <f t="shared" si="81"/>
        <v>10</v>
      </c>
      <c r="F116" s="2">
        <f>F57+1</f>
        <v>2</v>
      </c>
      <c r="H116" s="9" t="s">
        <v>92</v>
      </c>
      <c r="I116" s="9" t="s">
        <v>88</v>
      </c>
      <c r="J116" s="9" t="s">
        <v>33</v>
      </c>
      <c r="K116" s="9">
        <v>23.8</v>
      </c>
      <c r="L116" s="2">
        <v>6</v>
      </c>
      <c r="M116" s="2">
        <v>11</v>
      </c>
      <c r="N116" s="2">
        <v>300.01</v>
      </c>
      <c r="P116" s="4">
        <f t="shared" si="79"/>
        <v>0</v>
      </c>
    </row>
    <row r="117" spans="1:16" x14ac:dyDescent="0.25">
      <c r="A117" s="1" t="str">
        <f t="shared" si="81"/>
        <v>P205</v>
      </c>
      <c r="B117" s="1">
        <f t="shared" si="81"/>
        <v>205</v>
      </c>
      <c r="C117" s="1">
        <f t="shared" si="81"/>
        <v>2643</v>
      </c>
      <c r="D117" s="1">
        <f t="shared" si="81"/>
        <v>5</v>
      </c>
      <c r="E117" s="1">
        <f t="shared" si="81"/>
        <v>9</v>
      </c>
      <c r="F117" s="2">
        <f>F58+1</f>
        <v>2</v>
      </c>
      <c r="H117" s="9" t="s">
        <v>92</v>
      </c>
      <c r="I117" s="9" t="s">
        <v>89</v>
      </c>
      <c r="J117" s="9" t="s">
        <v>33</v>
      </c>
      <c r="K117" s="9">
        <v>23.51</v>
      </c>
      <c r="L117" s="2">
        <v>6</v>
      </c>
      <c r="M117" s="2">
        <v>11</v>
      </c>
      <c r="N117" s="2">
        <v>300</v>
      </c>
      <c r="P117" s="4">
        <f t="shared" si="79"/>
        <v>0</v>
      </c>
    </row>
    <row r="118" spans="1:16" x14ac:dyDescent="0.25">
      <c r="A118" s="1" t="str">
        <f t="shared" si="81"/>
        <v>P205</v>
      </c>
      <c r="B118" s="1">
        <f t="shared" si="81"/>
        <v>205</v>
      </c>
      <c r="C118" s="1">
        <f t="shared" si="81"/>
        <v>2800</v>
      </c>
      <c r="D118" s="1">
        <f t="shared" si="81"/>
        <v>5</v>
      </c>
      <c r="E118" s="1">
        <f t="shared" si="81"/>
        <v>9</v>
      </c>
      <c r="F118" s="2">
        <f>F59+1</f>
        <v>2</v>
      </c>
      <c r="H118" s="9" t="s">
        <v>92</v>
      </c>
      <c r="I118" s="9" t="s">
        <v>90</v>
      </c>
      <c r="J118" s="9" t="s">
        <v>33</v>
      </c>
      <c r="K118" s="9">
        <v>20.34</v>
      </c>
      <c r="L118" s="2">
        <v>5</v>
      </c>
      <c r="M118" s="2">
        <v>10</v>
      </c>
      <c r="N118" s="2">
        <v>300.04000000000002</v>
      </c>
      <c r="P118" s="4">
        <f t="shared" si="79"/>
        <v>0</v>
      </c>
    </row>
    <row r="119" spans="1:16" x14ac:dyDescent="0.25">
      <c r="A119" s="1" t="str">
        <f t="shared" si="81"/>
        <v>P205</v>
      </c>
      <c r="B119" s="1">
        <f t="shared" si="81"/>
        <v>205</v>
      </c>
      <c r="C119" s="1">
        <f t="shared" si="81"/>
        <v>2832</v>
      </c>
      <c r="D119" s="1">
        <f t="shared" si="81"/>
        <v>5</v>
      </c>
      <c r="E119" s="1">
        <f t="shared" si="81"/>
        <v>9</v>
      </c>
      <c r="F119" s="2">
        <f>F60+1</f>
        <v>2</v>
      </c>
      <c r="H119" s="9" t="s">
        <v>92</v>
      </c>
      <c r="I119" s="9" t="s">
        <v>91</v>
      </c>
      <c r="J119" s="9" t="s">
        <v>33</v>
      </c>
      <c r="K119" s="9">
        <v>20.309999999999999</v>
      </c>
      <c r="L119" s="2">
        <v>5</v>
      </c>
      <c r="M119" s="2">
        <v>10</v>
      </c>
      <c r="N119" s="2">
        <v>300.01</v>
      </c>
      <c r="P119" s="4">
        <f t="shared" si="79"/>
        <v>0</v>
      </c>
    </row>
    <row r="120" spans="1:16" x14ac:dyDescent="0.25">
      <c r="A120" s="1" t="str">
        <f t="shared" si="81"/>
        <v>P9</v>
      </c>
      <c r="B120" s="1">
        <f t="shared" si="81"/>
        <v>9</v>
      </c>
      <c r="C120" s="1">
        <f t="shared" si="81"/>
        <v>3</v>
      </c>
      <c r="D120" s="1">
        <f t="shared" si="81"/>
        <v>3</v>
      </c>
      <c r="E120" s="1">
        <f t="shared" si="81"/>
        <v>6</v>
      </c>
      <c r="F120" s="2">
        <f>F61+1</f>
        <v>3</v>
      </c>
      <c r="H120" s="9" t="s">
        <v>92</v>
      </c>
      <c r="I120" s="9" t="s">
        <v>32</v>
      </c>
      <c r="J120" s="9" t="s">
        <v>33</v>
      </c>
      <c r="K120" s="9">
        <v>12.17</v>
      </c>
      <c r="L120" s="2">
        <v>3</v>
      </c>
      <c r="M120" s="2">
        <v>6</v>
      </c>
      <c r="N120" s="2">
        <v>0</v>
      </c>
      <c r="P120" s="4">
        <f t="shared" si="79"/>
        <v>1</v>
      </c>
    </row>
    <row r="121" spans="1:16" x14ac:dyDescent="0.25">
      <c r="A121" s="1" t="str">
        <f t="shared" si="81"/>
        <v>P9</v>
      </c>
      <c r="B121" s="1">
        <f t="shared" si="81"/>
        <v>9</v>
      </c>
      <c r="C121" s="1">
        <f t="shared" si="81"/>
        <v>4</v>
      </c>
      <c r="D121" s="1">
        <f t="shared" si="81"/>
        <v>3</v>
      </c>
      <c r="E121" s="1">
        <f t="shared" si="81"/>
        <v>5</v>
      </c>
      <c r="F121" s="2">
        <f>F62+1</f>
        <v>3</v>
      </c>
      <c r="H121" s="9" t="s">
        <v>92</v>
      </c>
      <c r="I121" s="9" t="s">
        <v>34</v>
      </c>
      <c r="J121" s="9" t="s">
        <v>33</v>
      </c>
      <c r="K121" s="9">
        <v>11.42</v>
      </c>
      <c r="L121" s="2">
        <v>3</v>
      </c>
      <c r="M121" s="2">
        <v>5</v>
      </c>
      <c r="N121" s="2">
        <v>0</v>
      </c>
      <c r="P121" s="4">
        <f t="shared" si="79"/>
        <v>1</v>
      </c>
    </row>
    <row r="122" spans="1:16" x14ac:dyDescent="0.25">
      <c r="A122" s="1" t="str">
        <f t="shared" si="81"/>
        <v>P9</v>
      </c>
      <c r="B122" s="1">
        <f t="shared" si="81"/>
        <v>9</v>
      </c>
      <c r="C122" s="1">
        <f t="shared" si="81"/>
        <v>5</v>
      </c>
      <c r="D122" s="1">
        <f t="shared" si="81"/>
        <v>2</v>
      </c>
      <c r="E122" s="1">
        <f t="shared" si="81"/>
        <v>4</v>
      </c>
      <c r="F122" s="2">
        <f>F63+1</f>
        <v>3</v>
      </c>
      <c r="H122" s="9" t="s">
        <v>92</v>
      </c>
      <c r="I122" s="9" t="s">
        <v>35</v>
      </c>
      <c r="J122" s="9" t="s">
        <v>33</v>
      </c>
      <c r="K122" s="9">
        <v>8.15</v>
      </c>
      <c r="L122" s="2">
        <v>2</v>
      </c>
      <c r="M122" s="2">
        <v>4</v>
      </c>
      <c r="N122" s="2">
        <v>0</v>
      </c>
      <c r="P122" s="4">
        <f t="shared" si="79"/>
        <v>1</v>
      </c>
    </row>
    <row r="123" spans="1:16" x14ac:dyDescent="0.25">
      <c r="A123" s="1" t="str">
        <f t="shared" si="81"/>
        <v>P9</v>
      </c>
      <c r="B123" s="1">
        <f t="shared" si="81"/>
        <v>9</v>
      </c>
      <c r="C123" s="1">
        <f t="shared" si="81"/>
        <v>6</v>
      </c>
      <c r="D123" s="1">
        <f t="shared" si="81"/>
        <v>2</v>
      </c>
      <c r="E123" s="1">
        <f t="shared" si="81"/>
        <v>3</v>
      </c>
      <c r="F123" s="2">
        <f>F64+1</f>
        <v>3</v>
      </c>
      <c r="H123" s="9" t="s">
        <v>92</v>
      </c>
      <c r="I123" s="9" t="s">
        <v>36</v>
      </c>
      <c r="J123" s="9" t="s">
        <v>33</v>
      </c>
      <c r="K123" s="9">
        <v>7.29</v>
      </c>
      <c r="L123" s="2">
        <v>2</v>
      </c>
      <c r="M123" s="2">
        <v>3</v>
      </c>
      <c r="N123" s="2">
        <v>0</v>
      </c>
      <c r="P123" s="4">
        <f t="shared" si="79"/>
        <v>1</v>
      </c>
    </row>
    <row r="124" spans="1:16" x14ac:dyDescent="0.25">
      <c r="A124" s="1" t="str">
        <f t="shared" si="81"/>
        <v>P9</v>
      </c>
      <c r="B124" s="1">
        <f t="shared" si="81"/>
        <v>9</v>
      </c>
      <c r="C124" s="1">
        <f t="shared" si="81"/>
        <v>7</v>
      </c>
      <c r="D124" s="1">
        <f t="shared" si="81"/>
        <v>2</v>
      </c>
      <c r="E124" s="1">
        <f t="shared" si="81"/>
        <v>3</v>
      </c>
      <c r="F124" s="2">
        <f>F65+1</f>
        <v>3</v>
      </c>
      <c r="H124" s="9" t="s">
        <v>92</v>
      </c>
      <c r="I124" s="9" t="s">
        <v>37</v>
      </c>
      <c r="J124" s="9" t="s">
        <v>33</v>
      </c>
      <c r="K124" s="9">
        <v>7.39</v>
      </c>
      <c r="L124" s="2">
        <v>2</v>
      </c>
      <c r="M124" s="2">
        <v>3</v>
      </c>
      <c r="N124" s="2">
        <v>0</v>
      </c>
      <c r="P124" s="4">
        <f t="shared" si="79"/>
        <v>1</v>
      </c>
    </row>
    <row r="125" spans="1:16" x14ac:dyDescent="0.25">
      <c r="A125" s="1" t="str">
        <f t="shared" ref="A125:E140" si="82">A66</f>
        <v>P12</v>
      </c>
      <c r="B125" s="1">
        <f t="shared" si="82"/>
        <v>12</v>
      </c>
      <c r="C125" s="1">
        <f t="shared" si="82"/>
        <v>4</v>
      </c>
      <c r="D125" s="1">
        <f t="shared" si="82"/>
        <v>4</v>
      </c>
      <c r="E125" s="1">
        <f t="shared" si="82"/>
        <v>7</v>
      </c>
      <c r="F125" s="2">
        <f>F66+1</f>
        <v>3</v>
      </c>
      <c r="H125" s="9" t="s">
        <v>92</v>
      </c>
      <c r="I125" s="9" t="s">
        <v>38</v>
      </c>
      <c r="J125" s="9" t="s">
        <v>33</v>
      </c>
      <c r="K125" s="9">
        <v>15.31</v>
      </c>
      <c r="L125" s="2">
        <v>4</v>
      </c>
      <c r="M125" s="2">
        <v>7</v>
      </c>
      <c r="N125" s="2">
        <v>0</v>
      </c>
      <c r="P125" s="4">
        <f t="shared" si="79"/>
        <v>1</v>
      </c>
    </row>
    <row r="126" spans="1:16" x14ac:dyDescent="0.25">
      <c r="A126" s="1" t="str">
        <f t="shared" si="82"/>
        <v>P12</v>
      </c>
      <c r="B126" s="1">
        <f t="shared" si="82"/>
        <v>12</v>
      </c>
      <c r="C126" s="1">
        <f t="shared" si="82"/>
        <v>5</v>
      </c>
      <c r="D126" s="1">
        <f t="shared" si="82"/>
        <v>3</v>
      </c>
      <c r="E126" s="1">
        <f t="shared" si="82"/>
        <v>6</v>
      </c>
      <c r="F126" s="2">
        <f t="shared" ref="F126:F189" si="83">F67+1</f>
        <v>3</v>
      </c>
      <c r="H126" s="9" t="s">
        <v>92</v>
      </c>
      <c r="I126" s="9" t="s">
        <v>39</v>
      </c>
      <c r="J126" s="9" t="s">
        <v>33</v>
      </c>
      <c r="K126" s="9">
        <v>12.23</v>
      </c>
      <c r="L126" s="2">
        <v>3</v>
      </c>
      <c r="M126" s="2">
        <v>6</v>
      </c>
      <c r="N126" s="2">
        <v>300.01</v>
      </c>
      <c r="P126" s="4">
        <f t="shared" si="79"/>
        <v>1</v>
      </c>
    </row>
    <row r="127" spans="1:16" x14ac:dyDescent="0.25">
      <c r="A127" s="1" t="str">
        <f t="shared" si="82"/>
        <v>P12</v>
      </c>
      <c r="B127" s="1">
        <f t="shared" si="82"/>
        <v>12</v>
      </c>
      <c r="C127" s="1">
        <f t="shared" si="82"/>
        <v>6</v>
      </c>
      <c r="D127" s="1">
        <f t="shared" si="82"/>
        <v>3</v>
      </c>
      <c r="E127" s="1">
        <f t="shared" si="82"/>
        <v>5</v>
      </c>
      <c r="F127" s="2">
        <f t="shared" si="83"/>
        <v>3</v>
      </c>
      <c r="H127" s="9" t="s">
        <v>92</v>
      </c>
      <c r="I127" s="9" t="s">
        <v>40</v>
      </c>
      <c r="J127" s="9" t="s">
        <v>33</v>
      </c>
      <c r="K127" s="9">
        <v>11.36</v>
      </c>
      <c r="L127" s="2">
        <v>3</v>
      </c>
      <c r="M127" s="2">
        <v>5</v>
      </c>
      <c r="N127" s="2">
        <v>0</v>
      </c>
      <c r="P127" s="4">
        <f t="shared" si="79"/>
        <v>1</v>
      </c>
    </row>
    <row r="128" spans="1:16" x14ac:dyDescent="0.25">
      <c r="A128" s="1" t="str">
        <f t="shared" si="82"/>
        <v>P12</v>
      </c>
      <c r="B128" s="1">
        <f t="shared" si="82"/>
        <v>12</v>
      </c>
      <c r="C128" s="1">
        <f t="shared" si="82"/>
        <v>7</v>
      </c>
      <c r="D128" s="1">
        <f t="shared" si="82"/>
        <v>2</v>
      </c>
      <c r="E128" s="1">
        <f t="shared" si="82"/>
        <v>4</v>
      </c>
      <c r="F128" s="2">
        <f t="shared" si="83"/>
        <v>3</v>
      </c>
      <c r="H128" s="9" t="s">
        <v>92</v>
      </c>
      <c r="I128" s="9" t="s">
        <v>41</v>
      </c>
      <c r="J128" s="9" t="s">
        <v>33</v>
      </c>
      <c r="K128" s="9">
        <v>8.11</v>
      </c>
      <c r="L128" s="2">
        <v>2</v>
      </c>
      <c r="M128" s="2">
        <v>4</v>
      </c>
      <c r="N128" s="2">
        <v>0</v>
      </c>
      <c r="P128" s="4">
        <f t="shared" si="79"/>
        <v>1</v>
      </c>
    </row>
    <row r="129" spans="1:16" x14ac:dyDescent="0.25">
      <c r="A129" s="1" t="str">
        <f t="shared" si="82"/>
        <v>P12</v>
      </c>
      <c r="B129" s="1">
        <f t="shared" si="82"/>
        <v>12</v>
      </c>
      <c r="C129" s="1">
        <f t="shared" si="82"/>
        <v>8</v>
      </c>
      <c r="D129" s="1">
        <f t="shared" si="82"/>
        <v>2</v>
      </c>
      <c r="E129" s="1">
        <f t="shared" si="82"/>
        <v>4</v>
      </c>
      <c r="F129" s="2">
        <f t="shared" si="83"/>
        <v>3</v>
      </c>
      <c r="H129" s="9" t="s">
        <v>92</v>
      </c>
      <c r="I129" s="9" t="s">
        <v>42</v>
      </c>
      <c r="J129" s="9" t="s">
        <v>33</v>
      </c>
      <c r="K129" s="9">
        <v>8.2200000000000006</v>
      </c>
      <c r="L129" s="2">
        <v>2</v>
      </c>
      <c r="M129" s="2">
        <v>4</v>
      </c>
      <c r="N129" s="2">
        <v>0</v>
      </c>
      <c r="P129" s="4">
        <f t="shared" si="79"/>
        <v>1</v>
      </c>
    </row>
    <row r="130" spans="1:16" x14ac:dyDescent="0.25">
      <c r="A130" s="1" t="str">
        <f t="shared" si="82"/>
        <v>P12</v>
      </c>
      <c r="B130" s="1">
        <f t="shared" si="82"/>
        <v>12</v>
      </c>
      <c r="C130" s="1">
        <f t="shared" si="82"/>
        <v>9</v>
      </c>
      <c r="D130" s="1">
        <f t="shared" si="82"/>
        <v>2</v>
      </c>
      <c r="E130" s="1">
        <f t="shared" si="82"/>
        <v>3</v>
      </c>
      <c r="F130" s="2">
        <f t="shared" si="83"/>
        <v>3</v>
      </c>
      <c r="H130" s="9" t="s">
        <v>92</v>
      </c>
      <c r="I130" s="9" t="s">
        <v>43</v>
      </c>
      <c r="J130" s="9" t="s">
        <v>33</v>
      </c>
      <c r="K130" s="9">
        <v>7.31</v>
      </c>
      <c r="L130" s="2">
        <v>2</v>
      </c>
      <c r="M130" s="2">
        <v>3</v>
      </c>
      <c r="N130" s="2">
        <v>0</v>
      </c>
      <c r="P130" s="4">
        <f t="shared" si="79"/>
        <v>1</v>
      </c>
    </row>
    <row r="131" spans="1:16" x14ac:dyDescent="0.25">
      <c r="A131" s="1" t="str">
        <f t="shared" si="82"/>
        <v>P16</v>
      </c>
      <c r="B131" s="1">
        <f t="shared" si="82"/>
        <v>16</v>
      </c>
      <c r="C131" s="1">
        <f t="shared" si="82"/>
        <v>15</v>
      </c>
      <c r="D131" s="1">
        <f t="shared" si="82"/>
        <v>4</v>
      </c>
      <c r="E131" s="1">
        <f t="shared" si="82"/>
        <v>6</v>
      </c>
      <c r="F131" s="2">
        <f t="shared" si="83"/>
        <v>3</v>
      </c>
      <c r="H131" s="9" t="s">
        <v>92</v>
      </c>
      <c r="I131" s="9" t="s">
        <v>44</v>
      </c>
      <c r="J131" s="9" t="s">
        <v>33</v>
      </c>
      <c r="K131" s="9">
        <v>14.68</v>
      </c>
      <c r="L131" s="2">
        <v>4</v>
      </c>
      <c r="M131" s="2">
        <v>6</v>
      </c>
      <c r="N131" s="2">
        <v>300</v>
      </c>
      <c r="P131" s="4">
        <f t="shared" ref="P131:P194" si="84">IF(D131*100+E131=L131*100+M131,1,0)</f>
        <v>1</v>
      </c>
    </row>
    <row r="132" spans="1:16" x14ac:dyDescent="0.25">
      <c r="A132" s="1" t="str">
        <f t="shared" si="82"/>
        <v>P16</v>
      </c>
      <c r="B132" s="1">
        <f t="shared" si="82"/>
        <v>16</v>
      </c>
      <c r="C132" s="1">
        <f t="shared" si="82"/>
        <v>16</v>
      </c>
      <c r="D132" s="1">
        <f t="shared" si="82"/>
        <v>3</v>
      </c>
      <c r="E132" s="1">
        <f t="shared" si="82"/>
        <v>6</v>
      </c>
      <c r="F132" s="2">
        <f t="shared" si="83"/>
        <v>3</v>
      </c>
      <c r="H132" s="9" t="s">
        <v>92</v>
      </c>
      <c r="I132" s="9" t="s">
        <v>45</v>
      </c>
      <c r="J132" s="9" t="s">
        <v>33</v>
      </c>
      <c r="K132" s="9">
        <v>12.29</v>
      </c>
      <c r="L132" s="2">
        <v>3</v>
      </c>
      <c r="M132" s="2">
        <v>6</v>
      </c>
      <c r="N132" s="2">
        <v>0</v>
      </c>
      <c r="P132" s="4">
        <f t="shared" si="84"/>
        <v>1</v>
      </c>
    </row>
    <row r="133" spans="1:16" x14ac:dyDescent="0.25">
      <c r="A133" s="1" t="str">
        <f t="shared" si="82"/>
        <v>P16</v>
      </c>
      <c r="B133" s="1">
        <f t="shared" si="82"/>
        <v>16</v>
      </c>
      <c r="C133" s="1">
        <f t="shared" si="82"/>
        <v>18</v>
      </c>
      <c r="D133" s="1">
        <f t="shared" si="82"/>
        <v>3</v>
      </c>
      <c r="E133" s="1">
        <f t="shared" si="82"/>
        <v>6</v>
      </c>
      <c r="F133" s="2">
        <f t="shared" si="83"/>
        <v>3</v>
      </c>
      <c r="H133" s="9" t="s">
        <v>92</v>
      </c>
      <c r="I133" s="9" t="s">
        <v>46</v>
      </c>
      <c r="J133" s="9" t="s">
        <v>33</v>
      </c>
      <c r="K133" s="9">
        <v>12.41</v>
      </c>
      <c r="L133" s="2">
        <v>3</v>
      </c>
      <c r="M133" s="2">
        <v>6</v>
      </c>
      <c r="N133" s="2">
        <v>300</v>
      </c>
      <c r="P133" s="4">
        <f t="shared" si="84"/>
        <v>1</v>
      </c>
    </row>
    <row r="134" spans="1:16" x14ac:dyDescent="0.25">
      <c r="A134" s="1" t="str">
        <f t="shared" si="82"/>
        <v>P16</v>
      </c>
      <c r="B134" s="1">
        <f t="shared" si="82"/>
        <v>16</v>
      </c>
      <c r="C134" s="1">
        <f t="shared" si="82"/>
        <v>19</v>
      </c>
      <c r="D134" s="1">
        <f t="shared" si="82"/>
        <v>3</v>
      </c>
      <c r="E134" s="1">
        <f t="shared" si="82"/>
        <v>5</v>
      </c>
      <c r="F134" s="2">
        <f t="shared" si="83"/>
        <v>3</v>
      </c>
      <c r="H134" s="9" t="s">
        <v>92</v>
      </c>
      <c r="I134" s="9" t="s">
        <v>47</v>
      </c>
      <c r="J134" s="9" t="s">
        <v>33</v>
      </c>
      <c r="K134" s="9">
        <v>12.49</v>
      </c>
      <c r="L134" s="2">
        <v>3</v>
      </c>
      <c r="M134" s="2">
        <v>6</v>
      </c>
      <c r="N134" s="2">
        <v>300</v>
      </c>
      <c r="P134" s="4">
        <f t="shared" si="84"/>
        <v>0</v>
      </c>
    </row>
    <row r="135" spans="1:16" x14ac:dyDescent="0.25">
      <c r="A135" s="1" t="str">
        <f t="shared" si="82"/>
        <v>P16</v>
      </c>
      <c r="B135" s="1">
        <f t="shared" si="82"/>
        <v>16</v>
      </c>
      <c r="C135" s="1">
        <f t="shared" si="82"/>
        <v>20</v>
      </c>
      <c r="D135" s="1">
        <f t="shared" si="82"/>
        <v>3</v>
      </c>
      <c r="E135" s="1">
        <f t="shared" si="82"/>
        <v>5</v>
      </c>
      <c r="F135" s="2">
        <f t="shared" si="83"/>
        <v>3</v>
      </c>
      <c r="H135" s="9" t="s">
        <v>92</v>
      </c>
      <c r="I135" s="9" t="s">
        <v>48</v>
      </c>
      <c r="J135" s="9" t="s">
        <v>33</v>
      </c>
      <c r="K135" s="9">
        <v>12.57</v>
      </c>
      <c r="L135" s="2">
        <v>3</v>
      </c>
      <c r="M135" s="2">
        <v>6</v>
      </c>
      <c r="N135" s="2">
        <v>300</v>
      </c>
      <c r="P135" s="4">
        <f t="shared" si="84"/>
        <v>0</v>
      </c>
    </row>
    <row r="136" spans="1:16" x14ac:dyDescent="0.25">
      <c r="A136" s="1" t="str">
        <f t="shared" si="82"/>
        <v>P16</v>
      </c>
      <c r="B136" s="1">
        <f t="shared" si="82"/>
        <v>16</v>
      </c>
      <c r="C136" s="1">
        <f t="shared" si="82"/>
        <v>21</v>
      </c>
      <c r="D136" s="1">
        <f t="shared" si="82"/>
        <v>3</v>
      </c>
      <c r="E136" s="1">
        <f t="shared" si="82"/>
        <v>5</v>
      </c>
      <c r="F136" s="2">
        <f t="shared" si="83"/>
        <v>3</v>
      </c>
      <c r="H136" s="9" t="s">
        <v>92</v>
      </c>
      <c r="I136" s="9" t="s">
        <v>49</v>
      </c>
      <c r="J136" s="9" t="s">
        <v>33</v>
      </c>
      <c r="K136" s="9">
        <v>11.57</v>
      </c>
      <c r="L136" s="2">
        <v>3</v>
      </c>
      <c r="M136" s="2">
        <v>5</v>
      </c>
      <c r="N136" s="2">
        <v>300</v>
      </c>
      <c r="P136" s="4">
        <f t="shared" si="84"/>
        <v>1</v>
      </c>
    </row>
    <row r="137" spans="1:16" x14ac:dyDescent="0.25">
      <c r="A137" s="1" t="str">
        <f t="shared" si="82"/>
        <v>P16</v>
      </c>
      <c r="B137" s="1">
        <f t="shared" si="82"/>
        <v>16</v>
      </c>
      <c r="C137" s="1">
        <f t="shared" si="82"/>
        <v>22</v>
      </c>
      <c r="D137" s="1">
        <f t="shared" si="82"/>
        <v>2</v>
      </c>
      <c r="E137" s="1">
        <f t="shared" si="82"/>
        <v>4</v>
      </c>
      <c r="F137" s="2">
        <f t="shared" si="83"/>
        <v>3</v>
      </c>
      <c r="H137" s="9" t="s">
        <v>92</v>
      </c>
      <c r="I137" s="9" t="s">
        <v>50</v>
      </c>
      <c r="J137" s="9" t="s">
        <v>33</v>
      </c>
      <c r="K137" s="9">
        <v>8.1</v>
      </c>
      <c r="L137" s="2">
        <v>2</v>
      </c>
      <c r="M137" s="2">
        <v>4</v>
      </c>
      <c r="N137" s="2">
        <v>0</v>
      </c>
      <c r="P137" s="4">
        <f t="shared" si="84"/>
        <v>1</v>
      </c>
    </row>
    <row r="138" spans="1:16" x14ac:dyDescent="0.25">
      <c r="A138" s="1" t="str">
        <f t="shared" si="82"/>
        <v>P24</v>
      </c>
      <c r="B138" s="1">
        <f t="shared" si="82"/>
        <v>24</v>
      </c>
      <c r="C138" s="1">
        <f t="shared" si="82"/>
        <v>18</v>
      </c>
      <c r="D138" s="1">
        <f t="shared" si="82"/>
        <v>4</v>
      </c>
      <c r="E138" s="1">
        <f t="shared" si="82"/>
        <v>8</v>
      </c>
      <c r="F138" s="2">
        <f t="shared" si="83"/>
        <v>3</v>
      </c>
      <c r="H138" s="9" t="s">
        <v>92</v>
      </c>
      <c r="I138" s="9" t="s">
        <v>51</v>
      </c>
      <c r="J138" s="9" t="s">
        <v>33</v>
      </c>
      <c r="K138" s="9">
        <v>16.07</v>
      </c>
      <c r="L138" s="2">
        <v>4</v>
      </c>
      <c r="M138" s="2">
        <v>8</v>
      </c>
      <c r="N138" s="2">
        <v>0</v>
      </c>
      <c r="P138" s="4">
        <f t="shared" si="84"/>
        <v>1</v>
      </c>
    </row>
    <row r="139" spans="1:16" x14ac:dyDescent="0.25">
      <c r="A139" s="1" t="str">
        <f t="shared" si="82"/>
        <v>P24</v>
      </c>
      <c r="B139" s="1">
        <f t="shared" si="82"/>
        <v>24</v>
      </c>
      <c r="C139" s="1">
        <f t="shared" si="82"/>
        <v>20</v>
      </c>
      <c r="D139" s="1">
        <f t="shared" si="82"/>
        <v>4</v>
      </c>
      <c r="E139" s="1">
        <f t="shared" si="82"/>
        <v>7</v>
      </c>
      <c r="F139" s="2">
        <f t="shared" si="83"/>
        <v>3</v>
      </c>
      <c r="H139" s="9" t="s">
        <v>92</v>
      </c>
      <c r="I139" s="9" t="s">
        <v>52</v>
      </c>
      <c r="J139" s="9" t="s">
        <v>33</v>
      </c>
      <c r="K139" s="9">
        <v>16.16</v>
      </c>
      <c r="L139" s="2">
        <v>4</v>
      </c>
      <c r="M139" s="2">
        <v>8</v>
      </c>
      <c r="N139" s="2">
        <v>300</v>
      </c>
      <c r="P139" s="4">
        <f t="shared" si="84"/>
        <v>0</v>
      </c>
    </row>
    <row r="140" spans="1:16" x14ac:dyDescent="0.25">
      <c r="A140" s="1" t="str">
        <f t="shared" si="82"/>
        <v>P24</v>
      </c>
      <c r="B140" s="1">
        <f t="shared" si="82"/>
        <v>24</v>
      </c>
      <c r="C140" s="1">
        <f t="shared" si="82"/>
        <v>24</v>
      </c>
      <c r="D140" s="1">
        <f t="shared" si="82"/>
        <v>3</v>
      </c>
      <c r="E140" s="1">
        <f t="shared" si="82"/>
        <v>6</v>
      </c>
      <c r="F140" s="2">
        <f t="shared" si="83"/>
        <v>3</v>
      </c>
      <c r="H140" s="9" t="s">
        <v>92</v>
      </c>
      <c r="I140" s="9" t="s">
        <v>53</v>
      </c>
      <c r="J140" s="9" t="s">
        <v>33</v>
      </c>
      <c r="K140" s="9">
        <v>12.03</v>
      </c>
      <c r="L140" s="2">
        <v>3</v>
      </c>
      <c r="M140" s="2">
        <v>6</v>
      </c>
      <c r="N140" s="2">
        <v>0.01</v>
      </c>
      <c r="P140" s="4">
        <f t="shared" si="84"/>
        <v>1</v>
      </c>
    </row>
    <row r="141" spans="1:16" x14ac:dyDescent="0.25">
      <c r="A141" s="1" t="str">
        <f t="shared" ref="A141:E156" si="85">A82</f>
        <v>P24</v>
      </c>
      <c r="B141" s="1">
        <f t="shared" si="85"/>
        <v>24</v>
      </c>
      <c r="C141" s="1">
        <f t="shared" si="85"/>
        <v>25</v>
      </c>
      <c r="D141" s="1">
        <f t="shared" si="85"/>
        <v>3</v>
      </c>
      <c r="E141" s="1">
        <f t="shared" si="85"/>
        <v>6</v>
      </c>
      <c r="F141" s="2">
        <f t="shared" si="83"/>
        <v>3</v>
      </c>
      <c r="H141" s="9" t="s">
        <v>92</v>
      </c>
      <c r="I141" s="9" t="s">
        <v>54</v>
      </c>
      <c r="J141" s="9" t="s">
        <v>33</v>
      </c>
      <c r="K141" s="9">
        <v>12.1</v>
      </c>
      <c r="L141" s="2">
        <v>3</v>
      </c>
      <c r="M141" s="2">
        <v>6</v>
      </c>
      <c r="N141" s="2">
        <v>0</v>
      </c>
      <c r="P141" s="4">
        <f t="shared" si="84"/>
        <v>1</v>
      </c>
    </row>
    <row r="142" spans="1:16" x14ac:dyDescent="0.25">
      <c r="A142" s="1" t="str">
        <f t="shared" si="85"/>
        <v>P24</v>
      </c>
      <c r="B142" s="1">
        <f t="shared" si="85"/>
        <v>24</v>
      </c>
      <c r="C142" s="1">
        <f t="shared" si="85"/>
        <v>30</v>
      </c>
      <c r="D142" s="1">
        <f t="shared" si="85"/>
        <v>3</v>
      </c>
      <c r="E142" s="1">
        <f t="shared" si="85"/>
        <v>5</v>
      </c>
      <c r="F142" s="2">
        <f t="shared" si="83"/>
        <v>3</v>
      </c>
      <c r="H142" s="9" t="s">
        <v>92</v>
      </c>
      <c r="I142" s="9" t="s">
        <v>55</v>
      </c>
      <c r="J142" s="9" t="s">
        <v>33</v>
      </c>
      <c r="K142" s="9">
        <v>11.24</v>
      </c>
      <c r="L142" s="2">
        <v>3</v>
      </c>
      <c r="M142" s="2">
        <v>5</v>
      </c>
      <c r="N142" s="2">
        <v>0</v>
      </c>
      <c r="P142" s="4">
        <f t="shared" si="84"/>
        <v>1</v>
      </c>
    </row>
    <row r="143" spans="1:16" x14ac:dyDescent="0.25">
      <c r="A143" s="1" t="str">
        <f t="shared" si="85"/>
        <v>P24</v>
      </c>
      <c r="B143" s="1">
        <f t="shared" si="85"/>
        <v>24</v>
      </c>
      <c r="C143" s="1">
        <f t="shared" si="85"/>
        <v>35</v>
      </c>
      <c r="D143" s="1">
        <f t="shared" si="85"/>
        <v>2</v>
      </c>
      <c r="E143" s="1">
        <f t="shared" si="85"/>
        <v>4</v>
      </c>
      <c r="F143" s="2">
        <f t="shared" si="83"/>
        <v>3</v>
      </c>
      <c r="H143" s="9" t="s">
        <v>92</v>
      </c>
      <c r="I143" s="9" t="s">
        <v>56</v>
      </c>
      <c r="J143" s="9" t="s">
        <v>33</v>
      </c>
      <c r="K143" s="9">
        <v>8</v>
      </c>
      <c r="L143" s="2">
        <v>2</v>
      </c>
      <c r="M143" s="2">
        <v>4</v>
      </c>
      <c r="N143" s="2">
        <v>0</v>
      </c>
      <c r="P143" s="4">
        <f t="shared" si="84"/>
        <v>1</v>
      </c>
    </row>
    <row r="144" spans="1:16" x14ac:dyDescent="0.25">
      <c r="A144" s="1" t="str">
        <f t="shared" si="85"/>
        <v>P24</v>
      </c>
      <c r="B144" s="1">
        <f t="shared" si="85"/>
        <v>24</v>
      </c>
      <c r="C144" s="1">
        <f t="shared" si="85"/>
        <v>40</v>
      </c>
      <c r="D144" s="1">
        <f t="shared" si="85"/>
        <v>2</v>
      </c>
      <c r="E144" s="1">
        <f t="shared" si="85"/>
        <v>4</v>
      </c>
      <c r="F144" s="2">
        <f t="shared" si="83"/>
        <v>3</v>
      </c>
      <c r="H144" s="9" t="s">
        <v>92</v>
      </c>
      <c r="I144" s="9" t="s">
        <v>57</v>
      </c>
      <c r="J144" s="9" t="s">
        <v>33</v>
      </c>
      <c r="K144" s="9">
        <v>8.1199999999999992</v>
      </c>
      <c r="L144" s="2">
        <v>2</v>
      </c>
      <c r="M144" s="2">
        <v>4</v>
      </c>
      <c r="N144" s="2">
        <v>0.01</v>
      </c>
      <c r="P144" s="4">
        <f t="shared" si="84"/>
        <v>1</v>
      </c>
    </row>
    <row r="145" spans="1:16" x14ac:dyDescent="0.25">
      <c r="A145" s="1" t="str">
        <f t="shared" si="85"/>
        <v>P65</v>
      </c>
      <c r="B145" s="1">
        <f t="shared" si="85"/>
        <v>65</v>
      </c>
      <c r="C145" s="1">
        <f t="shared" si="85"/>
        <v>326</v>
      </c>
      <c r="D145" s="1">
        <f t="shared" si="85"/>
        <v>8</v>
      </c>
      <c r="E145" s="1">
        <f t="shared" si="85"/>
        <v>16</v>
      </c>
      <c r="F145" s="2">
        <f t="shared" si="83"/>
        <v>3</v>
      </c>
      <c r="H145" s="9" t="s">
        <v>92</v>
      </c>
      <c r="I145" s="9" t="s">
        <v>58</v>
      </c>
      <c r="J145" s="9" t="s">
        <v>33</v>
      </c>
      <c r="K145" s="9">
        <v>32.1</v>
      </c>
      <c r="L145" s="2">
        <v>8</v>
      </c>
      <c r="M145" s="2">
        <v>16</v>
      </c>
      <c r="N145" s="2">
        <v>0.08</v>
      </c>
      <c r="P145" s="4">
        <f t="shared" si="84"/>
        <v>1</v>
      </c>
    </row>
    <row r="146" spans="1:16" x14ac:dyDescent="0.25">
      <c r="A146" s="1" t="str">
        <f t="shared" si="85"/>
        <v>P65</v>
      </c>
      <c r="B146" s="1">
        <f t="shared" si="85"/>
        <v>65</v>
      </c>
      <c r="C146" s="1">
        <f t="shared" si="85"/>
        <v>381</v>
      </c>
      <c r="D146" s="1">
        <f t="shared" si="85"/>
        <v>7</v>
      </c>
      <c r="E146" s="1">
        <f t="shared" si="85"/>
        <v>14</v>
      </c>
      <c r="F146" s="2">
        <f t="shared" si="83"/>
        <v>3</v>
      </c>
      <c r="H146" s="9" t="s">
        <v>92</v>
      </c>
      <c r="I146" s="9" t="s">
        <v>59</v>
      </c>
      <c r="J146" s="9" t="s">
        <v>33</v>
      </c>
      <c r="K146" s="9">
        <v>28.1</v>
      </c>
      <c r="L146" s="2">
        <v>7</v>
      </c>
      <c r="M146" s="2">
        <v>14</v>
      </c>
      <c r="N146" s="2">
        <v>0.12</v>
      </c>
      <c r="P146" s="4">
        <f t="shared" si="84"/>
        <v>1</v>
      </c>
    </row>
    <row r="147" spans="1:16" x14ac:dyDescent="0.25">
      <c r="A147" s="1" t="str">
        <f t="shared" si="85"/>
        <v>P65</v>
      </c>
      <c r="B147" s="1">
        <f t="shared" si="85"/>
        <v>65</v>
      </c>
      <c r="C147" s="1">
        <f t="shared" si="85"/>
        <v>435</v>
      </c>
      <c r="D147" s="1">
        <f t="shared" si="85"/>
        <v>6</v>
      </c>
      <c r="E147" s="1">
        <f t="shared" si="85"/>
        <v>12</v>
      </c>
      <c r="F147" s="2">
        <f t="shared" si="83"/>
        <v>3</v>
      </c>
      <c r="H147" s="9" t="s">
        <v>92</v>
      </c>
      <c r="I147" s="9" t="s">
        <v>60</v>
      </c>
      <c r="J147" s="9" t="s">
        <v>33</v>
      </c>
      <c r="K147" s="9">
        <v>27.23</v>
      </c>
      <c r="L147" s="2">
        <v>7</v>
      </c>
      <c r="M147" s="2">
        <v>13</v>
      </c>
      <c r="N147" s="2">
        <v>300.01</v>
      </c>
      <c r="P147" s="4">
        <f t="shared" si="84"/>
        <v>0</v>
      </c>
    </row>
    <row r="148" spans="1:16" x14ac:dyDescent="0.25">
      <c r="A148" s="1" t="str">
        <f t="shared" si="85"/>
        <v>P65</v>
      </c>
      <c r="B148" s="1">
        <f t="shared" si="85"/>
        <v>65</v>
      </c>
      <c r="C148" s="1">
        <f t="shared" si="85"/>
        <v>490</v>
      </c>
      <c r="D148" s="1">
        <f t="shared" si="85"/>
        <v>6</v>
      </c>
      <c r="E148" s="1">
        <f t="shared" si="85"/>
        <v>11</v>
      </c>
      <c r="F148" s="2">
        <f t="shared" si="83"/>
        <v>3</v>
      </c>
      <c r="H148" s="9" t="s">
        <v>92</v>
      </c>
      <c r="I148" s="9" t="s">
        <v>61</v>
      </c>
      <c r="J148" s="9" t="s">
        <v>33</v>
      </c>
      <c r="K148" s="9">
        <v>23.21</v>
      </c>
      <c r="L148" s="2">
        <v>6</v>
      </c>
      <c r="M148" s="2">
        <v>11</v>
      </c>
      <c r="N148" s="2">
        <v>0.01</v>
      </c>
      <c r="P148" s="4">
        <f t="shared" si="84"/>
        <v>1</v>
      </c>
    </row>
    <row r="149" spans="1:16" x14ac:dyDescent="0.25">
      <c r="A149" s="1" t="str">
        <f t="shared" si="85"/>
        <v>P65</v>
      </c>
      <c r="B149" s="1">
        <f t="shared" si="85"/>
        <v>65</v>
      </c>
      <c r="C149" s="1">
        <f t="shared" si="85"/>
        <v>512</v>
      </c>
      <c r="D149" s="1">
        <f t="shared" si="85"/>
        <v>5</v>
      </c>
      <c r="E149" s="1">
        <f t="shared" si="85"/>
        <v>10</v>
      </c>
      <c r="F149" s="2">
        <f t="shared" si="83"/>
        <v>3</v>
      </c>
      <c r="H149" s="9" t="s">
        <v>92</v>
      </c>
      <c r="I149" s="9" t="s">
        <v>62</v>
      </c>
      <c r="J149" s="9" t="s">
        <v>33</v>
      </c>
      <c r="K149" s="9">
        <v>23.19</v>
      </c>
      <c r="L149" s="2">
        <v>6</v>
      </c>
      <c r="M149" s="2">
        <v>11</v>
      </c>
      <c r="N149" s="2">
        <v>300.01</v>
      </c>
      <c r="P149" s="4">
        <f t="shared" si="84"/>
        <v>0</v>
      </c>
    </row>
    <row r="150" spans="1:16" x14ac:dyDescent="0.25">
      <c r="A150" s="1" t="str">
        <f t="shared" si="85"/>
        <v>P65</v>
      </c>
      <c r="B150" s="1">
        <f t="shared" si="85"/>
        <v>65</v>
      </c>
      <c r="C150" s="1">
        <f t="shared" si="85"/>
        <v>544</v>
      </c>
      <c r="D150" s="1">
        <f t="shared" si="85"/>
        <v>5</v>
      </c>
      <c r="E150" s="1">
        <f t="shared" si="85"/>
        <v>10</v>
      </c>
      <c r="F150" s="2">
        <f t="shared" si="83"/>
        <v>3</v>
      </c>
      <c r="H150" s="9" t="s">
        <v>92</v>
      </c>
      <c r="I150" s="9" t="s">
        <v>63</v>
      </c>
      <c r="J150" s="9" t="s">
        <v>33</v>
      </c>
      <c r="K150" s="9">
        <v>20.18</v>
      </c>
      <c r="L150" s="2">
        <v>5</v>
      </c>
      <c r="M150" s="2">
        <v>10</v>
      </c>
      <c r="N150" s="2">
        <v>0.01</v>
      </c>
      <c r="P150" s="4">
        <f t="shared" si="84"/>
        <v>1</v>
      </c>
    </row>
    <row r="151" spans="1:16" x14ac:dyDescent="0.25">
      <c r="A151" s="1" t="str">
        <f t="shared" si="85"/>
        <v>P148</v>
      </c>
      <c r="B151" s="1">
        <f t="shared" si="85"/>
        <v>148</v>
      </c>
      <c r="C151" s="1">
        <f t="shared" si="85"/>
        <v>204</v>
      </c>
      <c r="D151" s="1">
        <f t="shared" si="85"/>
        <v>13</v>
      </c>
      <c r="E151" s="1">
        <f t="shared" si="85"/>
        <v>26</v>
      </c>
      <c r="F151" s="2">
        <f t="shared" si="83"/>
        <v>3</v>
      </c>
      <c r="H151" s="9" t="s">
        <v>92</v>
      </c>
      <c r="I151" s="9" t="s">
        <v>64</v>
      </c>
      <c r="J151" s="9" t="s">
        <v>33</v>
      </c>
      <c r="K151" s="9">
        <v>52.19</v>
      </c>
      <c r="L151" s="2">
        <v>13</v>
      </c>
      <c r="M151" s="2">
        <v>26</v>
      </c>
      <c r="N151" s="2">
        <v>0.16</v>
      </c>
      <c r="P151" s="4">
        <f t="shared" si="84"/>
        <v>1</v>
      </c>
    </row>
    <row r="152" spans="1:16" x14ac:dyDescent="0.25">
      <c r="A152" s="1" t="str">
        <f t="shared" si="85"/>
        <v>P148</v>
      </c>
      <c r="B152" s="1">
        <f t="shared" si="85"/>
        <v>148</v>
      </c>
      <c r="C152" s="1">
        <f t="shared" si="85"/>
        <v>228</v>
      </c>
      <c r="D152" s="1">
        <f t="shared" si="85"/>
        <v>12</v>
      </c>
      <c r="E152" s="1">
        <f t="shared" si="85"/>
        <v>23</v>
      </c>
      <c r="F152" s="2">
        <f t="shared" si="83"/>
        <v>3</v>
      </c>
      <c r="H152" s="9" t="s">
        <v>92</v>
      </c>
      <c r="I152" s="9" t="s">
        <v>65</v>
      </c>
      <c r="J152" s="9" t="s">
        <v>33</v>
      </c>
      <c r="K152" s="9">
        <v>47.17</v>
      </c>
      <c r="L152" s="2">
        <v>12</v>
      </c>
      <c r="M152" s="2">
        <v>23</v>
      </c>
      <c r="N152" s="2">
        <v>2.68</v>
      </c>
      <c r="P152" s="4">
        <f t="shared" si="84"/>
        <v>1</v>
      </c>
    </row>
    <row r="153" spans="1:16" x14ac:dyDescent="0.25">
      <c r="A153" s="1" t="str">
        <f t="shared" si="85"/>
        <v>P148</v>
      </c>
      <c r="B153" s="1">
        <f t="shared" si="85"/>
        <v>148</v>
      </c>
      <c r="C153" s="1">
        <f t="shared" si="85"/>
        <v>255</v>
      </c>
      <c r="D153" s="1">
        <f t="shared" si="85"/>
        <v>11</v>
      </c>
      <c r="E153" s="1">
        <f t="shared" si="85"/>
        <v>21</v>
      </c>
      <c r="F153" s="2">
        <f t="shared" si="83"/>
        <v>3</v>
      </c>
      <c r="H153" s="9" t="s">
        <v>92</v>
      </c>
      <c r="I153" s="9" t="s">
        <v>66</v>
      </c>
      <c r="J153" s="9" t="s">
        <v>33</v>
      </c>
      <c r="K153" s="9">
        <v>43.25</v>
      </c>
      <c r="L153" s="2">
        <v>11</v>
      </c>
      <c r="M153" s="2">
        <v>21</v>
      </c>
      <c r="N153" s="2">
        <v>0.08</v>
      </c>
      <c r="P153" s="4">
        <f t="shared" si="84"/>
        <v>1</v>
      </c>
    </row>
    <row r="154" spans="1:16" x14ac:dyDescent="0.25">
      <c r="A154" s="1" t="str">
        <f t="shared" si="85"/>
        <v>P148</v>
      </c>
      <c r="B154" s="1">
        <f t="shared" si="85"/>
        <v>148</v>
      </c>
      <c r="C154" s="1">
        <f t="shared" si="85"/>
        <v>306</v>
      </c>
      <c r="D154" s="1">
        <f t="shared" si="85"/>
        <v>9</v>
      </c>
      <c r="E154" s="1">
        <f t="shared" si="85"/>
        <v>17</v>
      </c>
      <c r="F154" s="2">
        <f t="shared" si="83"/>
        <v>3</v>
      </c>
      <c r="H154" s="9" t="s">
        <v>92</v>
      </c>
      <c r="I154" s="9" t="s">
        <v>67</v>
      </c>
      <c r="J154" s="9" t="s">
        <v>33</v>
      </c>
      <c r="K154" s="9">
        <v>35.130000000000003</v>
      </c>
      <c r="L154" s="2">
        <v>9</v>
      </c>
      <c r="M154" s="2">
        <v>17</v>
      </c>
      <c r="N154" s="2">
        <v>77.34</v>
      </c>
      <c r="P154" s="4">
        <f t="shared" si="84"/>
        <v>1</v>
      </c>
    </row>
    <row r="155" spans="1:16" x14ac:dyDescent="0.25">
      <c r="A155" s="1" t="str">
        <f t="shared" si="85"/>
        <v>P148</v>
      </c>
      <c r="B155" s="1">
        <f t="shared" si="85"/>
        <v>148</v>
      </c>
      <c r="C155" s="1">
        <f t="shared" si="85"/>
        <v>357</v>
      </c>
      <c r="D155" s="1">
        <f t="shared" si="85"/>
        <v>8</v>
      </c>
      <c r="E155" s="1">
        <f t="shared" si="85"/>
        <v>15</v>
      </c>
      <c r="F155" s="2">
        <f t="shared" si="83"/>
        <v>3</v>
      </c>
      <c r="H155" s="9" t="s">
        <v>92</v>
      </c>
      <c r="I155" s="9" t="s">
        <v>68</v>
      </c>
      <c r="J155" s="9" t="s">
        <v>33</v>
      </c>
      <c r="K155" s="9">
        <v>31.24</v>
      </c>
      <c r="L155" s="2">
        <v>8</v>
      </c>
      <c r="M155" s="2">
        <v>15</v>
      </c>
      <c r="N155" s="2">
        <v>0.04</v>
      </c>
      <c r="P155" s="4">
        <f t="shared" si="84"/>
        <v>1</v>
      </c>
    </row>
    <row r="156" spans="1:16" x14ac:dyDescent="0.25">
      <c r="A156" s="1" t="str">
        <f t="shared" si="85"/>
        <v>P148</v>
      </c>
      <c r="B156" s="1">
        <f t="shared" si="85"/>
        <v>148</v>
      </c>
      <c r="C156" s="1">
        <f t="shared" si="85"/>
        <v>378</v>
      </c>
      <c r="D156" s="1">
        <f t="shared" si="85"/>
        <v>7</v>
      </c>
      <c r="E156" s="1">
        <f t="shared" si="85"/>
        <v>14</v>
      </c>
      <c r="F156" s="2">
        <f t="shared" si="83"/>
        <v>3</v>
      </c>
      <c r="H156" s="9" t="s">
        <v>92</v>
      </c>
      <c r="I156" s="9" t="s">
        <v>69</v>
      </c>
      <c r="J156" s="9" t="s">
        <v>33</v>
      </c>
      <c r="K156" s="9">
        <v>28.07</v>
      </c>
      <c r="L156" s="2">
        <v>7</v>
      </c>
      <c r="M156" s="2">
        <v>14</v>
      </c>
      <c r="N156" s="2">
        <v>0.27</v>
      </c>
      <c r="P156" s="4">
        <f t="shared" si="84"/>
        <v>1</v>
      </c>
    </row>
    <row r="157" spans="1:16" x14ac:dyDescent="0.25">
      <c r="A157" s="1" t="str">
        <f t="shared" ref="A157:E172" si="86">A98</f>
        <v>P148</v>
      </c>
      <c r="B157" s="1">
        <f t="shared" si="86"/>
        <v>148</v>
      </c>
      <c r="C157" s="1">
        <f t="shared" si="86"/>
        <v>408</v>
      </c>
      <c r="D157" s="1">
        <f t="shared" si="86"/>
        <v>7</v>
      </c>
      <c r="E157" s="1">
        <f t="shared" si="86"/>
        <v>13</v>
      </c>
      <c r="F157" s="2">
        <f t="shared" si="83"/>
        <v>3</v>
      </c>
      <c r="H157" s="9" t="s">
        <v>92</v>
      </c>
      <c r="I157" s="9" t="s">
        <v>70</v>
      </c>
      <c r="J157" s="9" t="s">
        <v>33</v>
      </c>
      <c r="K157" s="9">
        <v>27.15</v>
      </c>
      <c r="L157" s="2">
        <v>7</v>
      </c>
      <c r="M157" s="2">
        <v>13</v>
      </c>
      <c r="N157" s="2">
        <v>0.04</v>
      </c>
      <c r="P157" s="4">
        <f t="shared" si="84"/>
        <v>1</v>
      </c>
    </row>
    <row r="158" spans="1:16" x14ac:dyDescent="0.25">
      <c r="A158" s="1" t="str">
        <f t="shared" si="86"/>
        <v>P148</v>
      </c>
      <c r="B158" s="1">
        <f t="shared" si="86"/>
        <v>148</v>
      </c>
      <c r="C158" s="1">
        <f t="shared" si="86"/>
        <v>454</v>
      </c>
      <c r="D158" s="1">
        <f t="shared" si="86"/>
        <v>6</v>
      </c>
      <c r="E158" s="1">
        <f t="shared" si="86"/>
        <v>12</v>
      </c>
      <c r="F158" s="2">
        <f t="shared" si="83"/>
        <v>3</v>
      </c>
      <c r="H158" s="9" t="s">
        <v>92</v>
      </c>
      <c r="I158" s="9" t="s">
        <v>71</v>
      </c>
      <c r="J158" s="9" t="s">
        <v>33</v>
      </c>
      <c r="K158" s="9">
        <v>24.15</v>
      </c>
      <c r="L158" s="2">
        <v>6</v>
      </c>
      <c r="M158" s="2">
        <v>12</v>
      </c>
      <c r="N158" s="2">
        <v>0.2</v>
      </c>
      <c r="P158" s="4">
        <f t="shared" si="84"/>
        <v>1</v>
      </c>
    </row>
    <row r="159" spans="1:16" x14ac:dyDescent="0.25">
      <c r="A159" s="1" t="str">
        <f t="shared" si="86"/>
        <v>P148</v>
      </c>
      <c r="B159" s="1">
        <f t="shared" si="86"/>
        <v>148</v>
      </c>
      <c r="C159" s="1">
        <f t="shared" si="86"/>
        <v>459</v>
      </c>
      <c r="D159" s="1">
        <f t="shared" si="86"/>
        <v>6</v>
      </c>
      <c r="E159" s="1">
        <f t="shared" si="86"/>
        <v>12</v>
      </c>
      <c r="F159" s="2">
        <f t="shared" si="83"/>
        <v>3</v>
      </c>
      <c r="H159" s="9" t="s">
        <v>92</v>
      </c>
      <c r="I159" s="9" t="s">
        <v>72</v>
      </c>
      <c r="J159" s="9" t="s">
        <v>33</v>
      </c>
      <c r="K159" s="9">
        <v>24.1</v>
      </c>
      <c r="L159" s="2">
        <v>6</v>
      </c>
      <c r="M159" s="2">
        <v>12</v>
      </c>
      <c r="N159" s="2">
        <v>1.02</v>
      </c>
      <c r="P159" s="4">
        <f t="shared" si="84"/>
        <v>1</v>
      </c>
    </row>
    <row r="160" spans="1:16" x14ac:dyDescent="0.25">
      <c r="A160" s="1" t="str">
        <f t="shared" si="86"/>
        <v>P148</v>
      </c>
      <c r="B160" s="1">
        <f t="shared" si="86"/>
        <v>148</v>
      </c>
      <c r="C160" s="1">
        <f t="shared" si="86"/>
        <v>510</v>
      </c>
      <c r="D160" s="1">
        <f t="shared" si="86"/>
        <v>6</v>
      </c>
      <c r="E160" s="1">
        <f t="shared" si="86"/>
        <v>11</v>
      </c>
      <c r="F160" s="2">
        <f t="shared" si="83"/>
        <v>3</v>
      </c>
      <c r="H160" s="9" t="s">
        <v>92</v>
      </c>
      <c r="I160" s="9" t="s">
        <v>73</v>
      </c>
      <c r="J160" s="9" t="s">
        <v>33</v>
      </c>
      <c r="K160" s="9">
        <v>23.26</v>
      </c>
      <c r="L160" s="2">
        <v>6</v>
      </c>
      <c r="M160" s="2">
        <v>11</v>
      </c>
      <c r="N160" s="2">
        <v>0.04</v>
      </c>
      <c r="P160" s="4">
        <f t="shared" si="84"/>
        <v>1</v>
      </c>
    </row>
    <row r="161" spans="1:16" x14ac:dyDescent="0.25">
      <c r="A161" s="1" t="str">
        <f t="shared" si="86"/>
        <v>P205</v>
      </c>
      <c r="B161" s="1">
        <f t="shared" si="86"/>
        <v>205</v>
      </c>
      <c r="C161" s="1">
        <f t="shared" si="86"/>
        <v>1133</v>
      </c>
      <c r="D161" s="1">
        <f t="shared" si="86"/>
        <v>11</v>
      </c>
      <c r="E161" s="1">
        <f t="shared" si="86"/>
        <v>21</v>
      </c>
      <c r="F161" s="2">
        <f t="shared" si="83"/>
        <v>3</v>
      </c>
      <c r="H161" s="9" t="s">
        <v>92</v>
      </c>
      <c r="I161" s="9" t="s">
        <v>74</v>
      </c>
      <c r="J161" s="9" t="s">
        <v>33</v>
      </c>
      <c r="K161" s="9">
        <v>47.52</v>
      </c>
      <c r="L161" s="2">
        <v>12</v>
      </c>
      <c r="M161" s="2">
        <v>23</v>
      </c>
      <c r="N161" s="2">
        <v>300.01</v>
      </c>
      <c r="P161" s="4">
        <f t="shared" si="84"/>
        <v>0</v>
      </c>
    </row>
    <row r="162" spans="1:16" x14ac:dyDescent="0.25">
      <c r="A162" s="1" t="str">
        <f t="shared" si="86"/>
        <v>P205</v>
      </c>
      <c r="B162" s="1">
        <f t="shared" si="86"/>
        <v>205</v>
      </c>
      <c r="C162" s="1">
        <f t="shared" si="86"/>
        <v>1275</v>
      </c>
      <c r="D162" s="1">
        <f t="shared" si="86"/>
        <v>10</v>
      </c>
      <c r="E162" s="1">
        <f t="shared" si="86"/>
        <v>19</v>
      </c>
      <c r="F162" s="2">
        <f t="shared" si="83"/>
        <v>3</v>
      </c>
      <c r="H162" s="9" t="s">
        <v>92</v>
      </c>
      <c r="I162" s="9" t="s">
        <v>75</v>
      </c>
      <c r="J162" s="9" t="s">
        <v>33</v>
      </c>
      <c r="K162" s="9">
        <v>40.270000000000003</v>
      </c>
      <c r="L162" s="2">
        <v>10</v>
      </c>
      <c r="M162" s="2">
        <v>20</v>
      </c>
      <c r="N162" s="2">
        <v>300.04000000000002</v>
      </c>
      <c r="P162" s="4">
        <f t="shared" si="84"/>
        <v>0</v>
      </c>
    </row>
    <row r="163" spans="1:16" x14ac:dyDescent="0.25">
      <c r="A163" s="1" t="str">
        <f t="shared" si="86"/>
        <v>P205</v>
      </c>
      <c r="B163" s="1">
        <f t="shared" si="86"/>
        <v>205</v>
      </c>
      <c r="C163" s="1">
        <f t="shared" si="86"/>
        <v>1322</v>
      </c>
      <c r="D163" s="1">
        <f t="shared" si="86"/>
        <v>9</v>
      </c>
      <c r="E163" s="1">
        <f t="shared" si="86"/>
        <v>18</v>
      </c>
      <c r="F163" s="2">
        <f t="shared" si="83"/>
        <v>3</v>
      </c>
      <c r="H163" s="9" t="s">
        <v>92</v>
      </c>
      <c r="I163" s="9" t="s">
        <v>76</v>
      </c>
      <c r="J163" s="9" t="s">
        <v>33</v>
      </c>
      <c r="K163" s="9">
        <v>40.36</v>
      </c>
      <c r="L163" s="2">
        <v>10</v>
      </c>
      <c r="M163" s="2">
        <v>20</v>
      </c>
      <c r="N163" s="2">
        <v>300.01</v>
      </c>
      <c r="P163" s="4">
        <f t="shared" si="84"/>
        <v>0</v>
      </c>
    </row>
    <row r="164" spans="1:16" x14ac:dyDescent="0.25">
      <c r="A164" s="1" t="str">
        <f t="shared" si="86"/>
        <v>P205</v>
      </c>
      <c r="B164" s="1">
        <f t="shared" si="86"/>
        <v>205</v>
      </c>
      <c r="C164" s="1">
        <f t="shared" si="86"/>
        <v>1455</v>
      </c>
      <c r="D164" s="1">
        <f t="shared" si="86"/>
        <v>9</v>
      </c>
      <c r="E164" s="1">
        <f t="shared" si="86"/>
        <v>17</v>
      </c>
      <c r="F164" s="2">
        <f t="shared" si="83"/>
        <v>3</v>
      </c>
      <c r="H164" s="9" t="s">
        <v>92</v>
      </c>
      <c r="I164" s="9" t="s">
        <v>77</v>
      </c>
      <c r="J164" s="9" t="s">
        <v>33</v>
      </c>
      <c r="K164" s="9">
        <v>36.24</v>
      </c>
      <c r="L164" s="2">
        <v>9</v>
      </c>
      <c r="M164" s="2">
        <v>18</v>
      </c>
      <c r="N164" s="2">
        <v>300.04000000000002</v>
      </c>
      <c r="P164" s="4">
        <f t="shared" si="84"/>
        <v>0</v>
      </c>
    </row>
    <row r="165" spans="1:16" x14ac:dyDescent="0.25">
      <c r="A165" s="1" t="str">
        <f t="shared" si="86"/>
        <v>P205</v>
      </c>
      <c r="B165" s="1">
        <f t="shared" si="86"/>
        <v>205</v>
      </c>
      <c r="C165" s="1">
        <f t="shared" si="86"/>
        <v>1510</v>
      </c>
      <c r="D165" s="1">
        <f t="shared" si="86"/>
        <v>8</v>
      </c>
      <c r="E165" s="1">
        <f t="shared" si="86"/>
        <v>16</v>
      </c>
      <c r="F165" s="2">
        <f t="shared" si="83"/>
        <v>3</v>
      </c>
      <c r="H165" s="9" t="s">
        <v>92</v>
      </c>
      <c r="I165" s="9" t="s">
        <v>78</v>
      </c>
      <c r="J165" s="9" t="s">
        <v>33</v>
      </c>
      <c r="K165" s="9">
        <v>35.380000000000003</v>
      </c>
      <c r="L165" s="2">
        <v>9</v>
      </c>
      <c r="M165" s="2">
        <v>17</v>
      </c>
      <c r="N165" s="2">
        <v>300</v>
      </c>
      <c r="P165" s="4">
        <f t="shared" si="84"/>
        <v>0</v>
      </c>
    </row>
    <row r="166" spans="1:16" x14ac:dyDescent="0.25">
      <c r="A166" s="1" t="str">
        <f t="shared" si="86"/>
        <v>P205</v>
      </c>
      <c r="B166" s="1">
        <f t="shared" si="86"/>
        <v>205</v>
      </c>
      <c r="C166" s="1">
        <f t="shared" si="86"/>
        <v>1650</v>
      </c>
      <c r="D166" s="1">
        <f t="shared" si="86"/>
        <v>8</v>
      </c>
      <c r="E166" s="1">
        <f t="shared" si="86"/>
        <v>15</v>
      </c>
      <c r="F166" s="2">
        <f t="shared" si="83"/>
        <v>3</v>
      </c>
      <c r="H166" s="9" t="s">
        <v>92</v>
      </c>
      <c r="I166" s="9" t="s">
        <v>79</v>
      </c>
      <c r="J166" s="9" t="s">
        <v>33</v>
      </c>
      <c r="K166" s="9">
        <v>32.35</v>
      </c>
      <c r="L166" s="2">
        <v>8</v>
      </c>
      <c r="M166" s="2">
        <v>16</v>
      </c>
      <c r="N166" s="2">
        <v>300.04000000000002</v>
      </c>
      <c r="P166" s="4">
        <f t="shared" si="84"/>
        <v>0</v>
      </c>
    </row>
    <row r="167" spans="1:16" x14ac:dyDescent="0.25">
      <c r="A167" s="1" t="str">
        <f t="shared" si="86"/>
        <v>P205</v>
      </c>
      <c r="B167" s="1">
        <f t="shared" si="86"/>
        <v>205</v>
      </c>
      <c r="C167" s="1">
        <f t="shared" si="86"/>
        <v>1699</v>
      </c>
      <c r="D167" s="1">
        <f t="shared" si="86"/>
        <v>7</v>
      </c>
      <c r="E167" s="1">
        <f t="shared" si="86"/>
        <v>14</v>
      </c>
      <c r="F167" s="2">
        <f t="shared" si="83"/>
        <v>3</v>
      </c>
      <c r="H167" s="9" t="s">
        <v>92</v>
      </c>
      <c r="I167" s="9" t="s">
        <v>80</v>
      </c>
      <c r="J167" s="9" t="s">
        <v>33</v>
      </c>
      <c r="K167" s="9">
        <v>32.32</v>
      </c>
      <c r="L167" s="2">
        <v>8</v>
      </c>
      <c r="M167" s="2">
        <v>16</v>
      </c>
      <c r="N167" s="2">
        <v>300.05</v>
      </c>
      <c r="P167" s="4">
        <f t="shared" si="84"/>
        <v>0</v>
      </c>
    </row>
    <row r="168" spans="1:16" x14ac:dyDescent="0.25">
      <c r="A168" s="1" t="str">
        <f t="shared" si="86"/>
        <v>P205</v>
      </c>
      <c r="B168" s="1">
        <f t="shared" si="86"/>
        <v>205</v>
      </c>
      <c r="C168" s="1">
        <f t="shared" si="86"/>
        <v>1888</v>
      </c>
      <c r="D168" s="1">
        <f t="shared" si="86"/>
        <v>7</v>
      </c>
      <c r="E168" s="1">
        <f t="shared" si="86"/>
        <v>13</v>
      </c>
      <c r="F168" s="2">
        <f t="shared" si="83"/>
        <v>3</v>
      </c>
      <c r="H168" s="9" t="s">
        <v>92</v>
      </c>
      <c r="I168" s="9" t="s">
        <v>81</v>
      </c>
      <c r="J168" s="9" t="s">
        <v>33</v>
      </c>
      <c r="K168" s="9">
        <v>31</v>
      </c>
      <c r="L168" s="2">
        <v>8</v>
      </c>
      <c r="M168" s="2">
        <v>14</v>
      </c>
      <c r="N168" s="2">
        <v>300</v>
      </c>
      <c r="P168" s="4">
        <f t="shared" si="84"/>
        <v>0</v>
      </c>
    </row>
    <row r="169" spans="1:16" x14ac:dyDescent="0.25">
      <c r="A169" s="1" t="str">
        <f t="shared" si="86"/>
        <v>P205</v>
      </c>
      <c r="B169" s="1">
        <f t="shared" si="86"/>
        <v>205</v>
      </c>
      <c r="C169" s="1">
        <f t="shared" si="86"/>
        <v>1920</v>
      </c>
      <c r="D169" s="1">
        <f t="shared" si="86"/>
        <v>7</v>
      </c>
      <c r="E169" s="1">
        <f t="shared" si="86"/>
        <v>13</v>
      </c>
      <c r="F169" s="2">
        <f t="shared" si="83"/>
        <v>3</v>
      </c>
      <c r="H169" s="9" t="s">
        <v>92</v>
      </c>
      <c r="I169" s="9" t="s">
        <v>82</v>
      </c>
      <c r="J169" s="9" t="s">
        <v>33</v>
      </c>
      <c r="K169" s="9">
        <v>28.27</v>
      </c>
      <c r="L169" s="2">
        <v>7</v>
      </c>
      <c r="M169" s="2">
        <v>14</v>
      </c>
      <c r="N169" s="2">
        <v>300.01</v>
      </c>
      <c r="P169" s="4">
        <f t="shared" si="84"/>
        <v>0</v>
      </c>
    </row>
    <row r="170" spans="1:16" x14ac:dyDescent="0.25">
      <c r="A170" s="1" t="str">
        <f t="shared" si="86"/>
        <v>P205</v>
      </c>
      <c r="B170" s="1">
        <f t="shared" si="86"/>
        <v>205</v>
      </c>
      <c r="C170" s="1">
        <f t="shared" si="86"/>
        <v>2077</v>
      </c>
      <c r="D170" s="1">
        <f t="shared" si="86"/>
        <v>6</v>
      </c>
      <c r="E170" s="1">
        <f t="shared" si="86"/>
        <v>12</v>
      </c>
      <c r="F170" s="2">
        <f t="shared" si="83"/>
        <v>3</v>
      </c>
      <c r="H170" s="9" t="s">
        <v>92</v>
      </c>
      <c r="I170" s="9" t="s">
        <v>83</v>
      </c>
      <c r="J170" s="9" t="s">
        <v>33</v>
      </c>
      <c r="K170" s="9">
        <v>27.43</v>
      </c>
      <c r="L170" s="2">
        <v>7</v>
      </c>
      <c r="M170" s="2">
        <v>13</v>
      </c>
      <c r="N170" s="2">
        <v>300.02999999999997</v>
      </c>
      <c r="P170" s="4">
        <f t="shared" si="84"/>
        <v>0</v>
      </c>
    </row>
    <row r="171" spans="1:16" x14ac:dyDescent="0.25">
      <c r="A171" s="1" t="str">
        <f t="shared" si="86"/>
        <v>P205</v>
      </c>
      <c r="B171" s="1">
        <f t="shared" si="86"/>
        <v>205</v>
      </c>
      <c r="C171" s="1">
        <f t="shared" si="86"/>
        <v>2100</v>
      </c>
      <c r="D171" s="1">
        <f t="shared" si="86"/>
        <v>6</v>
      </c>
      <c r="E171" s="1">
        <f t="shared" si="86"/>
        <v>12</v>
      </c>
      <c r="F171" s="2">
        <f t="shared" si="83"/>
        <v>3</v>
      </c>
      <c r="H171" s="9" t="s">
        <v>92</v>
      </c>
      <c r="I171" s="9" t="s">
        <v>84</v>
      </c>
      <c r="J171" s="9" t="s">
        <v>33</v>
      </c>
      <c r="K171" s="9">
        <v>27.74</v>
      </c>
      <c r="L171" s="2">
        <v>7</v>
      </c>
      <c r="M171" s="2">
        <v>13</v>
      </c>
      <c r="N171" s="2">
        <v>300.02999999999997</v>
      </c>
      <c r="P171" s="4">
        <f t="shared" si="84"/>
        <v>0</v>
      </c>
    </row>
    <row r="172" spans="1:16" x14ac:dyDescent="0.25">
      <c r="A172" s="1" t="str">
        <f t="shared" si="86"/>
        <v>P205</v>
      </c>
      <c r="B172" s="1">
        <f t="shared" si="86"/>
        <v>205</v>
      </c>
      <c r="C172" s="1">
        <f t="shared" si="86"/>
        <v>2266</v>
      </c>
      <c r="D172" s="1">
        <f t="shared" si="86"/>
        <v>6</v>
      </c>
      <c r="E172" s="1">
        <f t="shared" si="86"/>
        <v>11</v>
      </c>
      <c r="F172" s="2">
        <f t="shared" si="83"/>
        <v>3</v>
      </c>
      <c r="H172" s="9" t="s">
        <v>92</v>
      </c>
      <c r="I172" s="9" t="s">
        <v>85</v>
      </c>
      <c r="J172" s="9" t="s">
        <v>33</v>
      </c>
      <c r="K172" s="9">
        <v>24.28</v>
      </c>
      <c r="L172" s="2">
        <v>6</v>
      </c>
      <c r="M172" s="2">
        <v>12</v>
      </c>
      <c r="N172" s="2">
        <v>300.04000000000002</v>
      </c>
      <c r="P172" s="4">
        <f t="shared" si="84"/>
        <v>0</v>
      </c>
    </row>
    <row r="173" spans="1:16" x14ac:dyDescent="0.25">
      <c r="A173" s="1" t="str">
        <f t="shared" ref="A173:E188" si="87">A114</f>
        <v>P205</v>
      </c>
      <c r="B173" s="1">
        <f t="shared" si="87"/>
        <v>205</v>
      </c>
      <c r="C173" s="1">
        <f t="shared" si="87"/>
        <v>2300</v>
      </c>
      <c r="D173" s="1">
        <f t="shared" si="87"/>
        <v>6</v>
      </c>
      <c r="E173" s="1">
        <f t="shared" si="87"/>
        <v>11</v>
      </c>
      <c r="F173" s="2">
        <f t="shared" si="83"/>
        <v>3</v>
      </c>
      <c r="H173" s="9" t="s">
        <v>92</v>
      </c>
      <c r="I173" s="9" t="s">
        <v>86</v>
      </c>
      <c r="J173" s="9" t="s">
        <v>33</v>
      </c>
      <c r="K173" s="9">
        <v>24.29</v>
      </c>
      <c r="L173" s="2">
        <v>6</v>
      </c>
      <c r="M173" s="2">
        <v>12</v>
      </c>
      <c r="N173" s="2">
        <v>300.02</v>
      </c>
      <c r="P173" s="4">
        <f t="shared" si="84"/>
        <v>0</v>
      </c>
    </row>
    <row r="174" spans="1:16" x14ac:dyDescent="0.25">
      <c r="A174" s="1" t="str">
        <f t="shared" si="87"/>
        <v>P205</v>
      </c>
      <c r="B174" s="1">
        <f t="shared" si="87"/>
        <v>205</v>
      </c>
      <c r="C174" s="1">
        <f t="shared" si="87"/>
        <v>2454</v>
      </c>
      <c r="D174" s="1">
        <f t="shared" si="87"/>
        <v>5</v>
      </c>
      <c r="E174" s="1">
        <f t="shared" si="87"/>
        <v>10</v>
      </c>
      <c r="F174" s="2">
        <f t="shared" si="83"/>
        <v>3</v>
      </c>
      <c r="H174" s="9" t="s">
        <v>92</v>
      </c>
      <c r="I174" s="9" t="s">
        <v>87</v>
      </c>
      <c r="J174" s="9" t="s">
        <v>33</v>
      </c>
      <c r="K174" s="9">
        <v>24.41</v>
      </c>
      <c r="L174" s="2">
        <v>6</v>
      </c>
      <c r="M174" s="2">
        <v>12</v>
      </c>
      <c r="N174" s="2">
        <v>300.01</v>
      </c>
      <c r="P174" s="4">
        <f t="shared" si="84"/>
        <v>0</v>
      </c>
    </row>
    <row r="175" spans="1:16" x14ac:dyDescent="0.25">
      <c r="A175" s="1" t="str">
        <f t="shared" si="87"/>
        <v>P205</v>
      </c>
      <c r="B175" s="1">
        <f t="shared" si="87"/>
        <v>205</v>
      </c>
      <c r="C175" s="1">
        <f t="shared" si="87"/>
        <v>2500</v>
      </c>
      <c r="D175" s="1">
        <f t="shared" si="87"/>
        <v>5</v>
      </c>
      <c r="E175" s="1">
        <f t="shared" si="87"/>
        <v>10</v>
      </c>
      <c r="F175" s="2">
        <f t="shared" si="83"/>
        <v>3</v>
      </c>
      <c r="H175" s="9" t="s">
        <v>92</v>
      </c>
      <c r="I175" s="9" t="s">
        <v>88</v>
      </c>
      <c r="J175" s="9" t="s">
        <v>33</v>
      </c>
      <c r="K175" s="9">
        <v>23.79</v>
      </c>
      <c r="L175" s="2">
        <v>6</v>
      </c>
      <c r="M175" s="2">
        <v>11</v>
      </c>
      <c r="N175" s="2">
        <v>300.01</v>
      </c>
      <c r="P175" s="4">
        <f t="shared" si="84"/>
        <v>0</v>
      </c>
    </row>
    <row r="176" spans="1:16" x14ac:dyDescent="0.25">
      <c r="A176" s="1" t="str">
        <f t="shared" si="87"/>
        <v>P205</v>
      </c>
      <c r="B176" s="1">
        <f t="shared" si="87"/>
        <v>205</v>
      </c>
      <c r="C176" s="1">
        <f t="shared" si="87"/>
        <v>2643</v>
      </c>
      <c r="D176" s="1">
        <f t="shared" si="87"/>
        <v>5</v>
      </c>
      <c r="E176" s="1">
        <f t="shared" si="87"/>
        <v>9</v>
      </c>
      <c r="F176" s="2">
        <f t="shared" si="83"/>
        <v>3</v>
      </c>
      <c r="H176" s="9" t="s">
        <v>92</v>
      </c>
      <c r="I176" s="9" t="s">
        <v>89</v>
      </c>
      <c r="J176" s="9" t="s">
        <v>33</v>
      </c>
      <c r="K176" s="9">
        <v>20.28</v>
      </c>
      <c r="L176" s="2">
        <v>5</v>
      </c>
      <c r="M176" s="2">
        <v>10</v>
      </c>
      <c r="N176" s="2">
        <v>300.01</v>
      </c>
      <c r="P176" s="4">
        <f t="shared" si="84"/>
        <v>0</v>
      </c>
    </row>
    <row r="177" spans="1:16" x14ac:dyDescent="0.25">
      <c r="A177" s="1" t="str">
        <f t="shared" si="87"/>
        <v>P205</v>
      </c>
      <c r="B177" s="1">
        <f t="shared" si="87"/>
        <v>205</v>
      </c>
      <c r="C177" s="1">
        <f t="shared" si="87"/>
        <v>2800</v>
      </c>
      <c r="D177" s="1">
        <f t="shared" si="87"/>
        <v>5</v>
      </c>
      <c r="E177" s="1">
        <f t="shared" si="87"/>
        <v>9</v>
      </c>
      <c r="F177" s="2">
        <f t="shared" si="83"/>
        <v>3</v>
      </c>
      <c r="H177" s="9" t="s">
        <v>92</v>
      </c>
      <c r="I177" s="9" t="s">
        <v>90</v>
      </c>
      <c r="J177" s="9" t="s">
        <v>33</v>
      </c>
      <c r="K177" s="9">
        <v>20.350000000000001</v>
      </c>
      <c r="L177" s="2">
        <v>5</v>
      </c>
      <c r="M177" s="2">
        <v>10</v>
      </c>
      <c r="N177" s="2">
        <v>300.01</v>
      </c>
      <c r="P177" s="4">
        <f t="shared" si="84"/>
        <v>0</v>
      </c>
    </row>
    <row r="178" spans="1:16" x14ac:dyDescent="0.25">
      <c r="A178" s="1" t="str">
        <f t="shared" si="87"/>
        <v>P205</v>
      </c>
      <c r="B178" s="1">
        <f t="shared" si="87"/>
        <v>205</v>
      </c>
      <c r="C178" s="1">
        <f t="shared" si="87"/>
        <v>2832</v>
      </c>
      <c r="D178" s="1">
        <f t="shared" si="87"/>
        <v>5</v>
      </c>
      <c r="E178" s="1">
        <f t="shared" si="87"/>
        <v>9</v>
      </c>
      <c r="F178" s="2">
        <f t="shared" si="83"/>
        <v>3</v>
      </c>
      <c r="H178" s="9" t="s">
        <v>92</v>
      </c>
      <c r="I178" s="9" t="s">
        <v>91</v>
      </c>
      <c r="J178" s="9" t="s">
        <v>33</v>
      </c>
      <c r="K178" s="9">
        <v>20.32</v>
      </c>
      <c r="L178" s="2">
        <v>5</v>
      </c>
      <c r="M178" s="2">
        <v>10</v>
      </c>
      <c r="N178" s="2">
        <v>300.01</v>
      </c>
      <c r="P178" s="4">
        <f t="shared" si="84"/>
        <v>0</v>
      </c>
    </row>
    <row r="179" spans="1:16" x14ac:dyDescent="0.25">
      <c r="A179" s="1" t="str">
        <f t="shared" si="87"/>
        <v>P9</v>
      </c>
      <c r="B179" s="1">
        <f t="shared" si="87"/>
        <v>9</v>
      </c>
      <c r="C179" s="1">
        <f t="shared" si="87"/>
        <v>3</v>
      </c>
      <c r="D179" s="1">
        <f t="shared" si="87"/>
        <v>3</v>
      </c>
      <c r="E179" s="1">
        <f t="shared" si="87"/>
        <v>6</v>
      </c>
      <c r="F179" s="2">
        <f t="shared" si="83"/>
        <v>4</v>
      </c>
      <c r="H179" s="9" t="s">
        <v>92</v>
      </c>
      <c r="I179" s="9" t="s">
        <v>32</v>
      </c>
      <c r="J179" s="9" t="s">
        <v>33</v>
      </c>
      <c r="K179" s="9">
        <v>12.17</v>
      </c>
      <c r="L179" s="2">
        <v>3</v>
      </c>
      <c r="M179" s="2">
        <v>6</v>
      </c>
      <c r="N179" s="2">
        <v>0</v>
      </c>
      <c r="P179" s="4">
        <f t="shared" si="84"/>
        <v>1</v>
      </c>
    </row>
    <row r="180" spans="1:16" x14ac:dyDescent="0.25">
      <c r="A180" s="1" t="str">
        <f t="shared" si="87"/>
        <v>P9</v>
      </c>
      <c r="B180" s="1">
        <f t="shared" si="87"/>
        <v>9</v>
      </c>
      <c r="C180" s="1">
        <f t="shared" si="87"/>
        <v>4</v>
      </c>
      <c r="D180" s="1">
        <f t="shared" si="87"/>
        <v>3</v>
      </c>
      <c r="E180" s="1">
        <f t="shared" si="87"/>
        <v>5</v>
      </c>
      <c r="F180" s="2">
        <f t="shared" si="83"/>
        <v>4</v>
      </c>
      <c r="H180" s="9" t="s">
        <v>92</v>
      </c>
      <c r="I180" s="9" t="s">
        <v>34</v>
      </c>
      <c r="J180" s="9" t="s">
        <v>33</v>
      </c>
      <c r="K180" s="9">
        <v>11.42</v>
      </c>
      <c r="L180" s="2">
        <v>3</v>
      </c>
      <c r="M180" s="2">
        <v>5</v>
      </c>
      <c r="N180" s="2">
        <v>0</v>
      </c>
      <c r="P180" s="4">
        <f t="shared" si="84"/>
        <v>1</v>
      </c>
    </row>
    <row r="181" spans="1:16" x14ac:dyDescent="0.25">
      <c r="A181" s="1" t="str">
        <f t="shared" si="87"/>
        <v>P9</v>
      </c>
      <c r="B181" s="1">
        <f t="shared" si="87"/>
        <v>9</v>
      </c>
      <c r="C181" s="1">
        <f t="shared" si="87"/>
        <v>5</v>
      </c>
      <c r="D181" s="1">
        <f t="shared" si="87"/>
        <v>2</v>
      </c>
      <c r="E181" s="1">
        <f t="shared" si="87"/>
        <v>4</v>
      </c>
      <c r="F181" s="2">
        <f t="shared" si="83"/>
        <v>4</v>
      </c>
      <c r="H181" s="9" t="s">
        <v>92</v>
      </c>
      <c r="I181" s="9" t="s">
        <v>35</v>
      </c>
      <c r="J181" s="9" t="s">
        <v>33</v>
      </c>
      <c r="K181" s="9">
        <v>8.15</v>
      </c>
      <c r="L181" s="2">
        <v>2</v>
      </c>
      <c r="M181" s="2">
        <v>4</v>
      </c>
      <c r="N181" s="2">
        <v>0</v>
      </c>
      <c r="P181" s="4">
        <f t="shared" si="84"/>
        <v>1</v>
      </c>
    </row>
    <row r="182" spans="1:16" x14ac:dyDescent="0.25">
      <c r="A182" s="1" t="str">
        <f t="shared" si="87"/>
        <v>P9</v>
      </c>
      <c r="B182" s="1">
        <f t="shared" si="87"/>
        <v>9</v>
      </c>
      <c r="C182" s="1">
        <f t="shared" si="87"/>
        <v>6</v>
      </c>
      <c r="D182" s="1">
        <f t="shared" si="87"/>
        <v>2</v>
      </c>
      <c r="E182" s="1">
        <f t="shared" si="87"/>
        <v>3</v>
      </c>
      <c r="F182" s="2">
        <f t="shared" si="83"/>
        <v>4</v>
      </c>
      <c r="H182" s="9" t="s">
        <v>92</v>
      </c>
      <c r="I182" s="9" t="s">
        <v>36</v>
      </c>
      <c r="J182" s="9" t="s">
        <v>33</v>
      </c>
      <c r="K182" s="9">
        <v>7.29</v>
      </c>
      <c r="L182" s="2">
        <v>2</v>
      </c>
      <c r="M182" s="2">
        <v>3</v>
      </c>
      <c r="N182" s="2">
        <v>0</v>
      </c>
      <c r="P182" s="4">
        <f t="shared" si="84"/>
        <v>1</v>
      </c>
    </row>
    <row r="183" spans="1:16" x14ac:dyDescent="0.25">
      <c r="A183" s="1" t="str">
        <f t="shared" si="87"/>
        <v>P9</v>
      </c>
      <c r="B183" s="1">
        <f t="shared" si="87"/>
        <v>9</v>
      </c>
      <c r="C183" s="1">
        <f t="shared" si="87"/>
        <v>7</v>
      </c>
      <c r="D183" s="1">
        <f t="shared" si="87"/>
        <v>2</v>
      </c>
      <c r="E183" s="1">
        <f t="shared" si="87"/>
        <v>3</v>
      </c>
      <c r="F183" s="2">
        <f t="shared" si="83"/>
        <v>4</v>
      </c>
      <c r="H183" s="9" t="s">
        <v>92</v>
      </c>
      <c r="I183" s="9" t="s">
        <v>37</v>
      </c>
      <c r="J183" s="9" t="s">
        <v>33</v>
      </c>
      <c r="K183" s="9">
        <v>7.39</v>
      </c>
      <c r="L183" s="2">
        <v>2</v>
      </c>
      <c r="M183" s="2">
        <v>3</v>
      </c>
      <c r="N183" s="2">
        <v>0</v>
      </c>
      <c r="P183" s="4">
        <f t="shared" si="84"/>
        <v>1</v>
      </c>
    </row>
    <row r="184" spans="1:16" x14ac:dyDescent="0.25">
      <c r="A184" s="1" t="str">
        <f t="shared" si="87"/>
        <v>P12</v>
      </c>
      <c r="B184" s="1">
        <f t="shared" si="87"/>
        <v>12</v>
      </c>
      <c r="C184" s="1">
        <f t="shared" si="87"/>
        <v>4</v>
      </c>
      <c r="D184" s="1">
        <f t="shared" si="87"/>
        <v>4</v>
      </c>
      <c r="E184" s="1">
        <f t="shared" si="87"/>
        <v>7</v>
      </c>
      <c r="F184" s="2">
        <f t="shared" si="83"/>
        <v>4</v>
      </c>
      <c r="H184" s="9" t="s">
        <v>92</v>
      </c>
      <c r="I184" s="9" t="s">
        <v>38</v>
      </c>
      <c r="J184" s="9" t="s">
        <v>33</v>
      </c>
      <c r="K184" s="9">
        <v>15.31</v>
      </c>
      <c r="L184" s="2">
        <v>4</v>
      </c>
      <c r="M184" s="2">
        <v>7</v>
      </c>
      <c r="N184" s="2">
        <v>0.01</v>
      </c>
      <c r="P184" s="4">
        <f t="shared" si="84"/>
        <v>1</v>
      </c>
    </row>
    <row r="185" spans="1:16" x14ac:dyDescent="0.25">
      <c r="A185" s="1" t="str">
        <f t="shared" si="87"/>
        <v>P12</v>
      </c>
      <c r="B185" s="1">
        <f t="shared" si="87"/>
        <v>12</v>
      </c>
      <c r="C185" s="1">
        <f t="shared" si="87"/>
        <v>5</v>
      </c>
      <c r="D185" s="1">
        <f t="shared" si="87"/>
        <v>3</v>
      </c>
      <c r="E185" s="1">
        <f t="shared" si="87"/>
        <v>6</v>
      </c>
      <c r="F185" s="2">
        <f t="shared" si="83"/>
        <v>4</v>
      </c>
      <c r="H185" s="9" t="s">
        <v>92</v>
      </c>
      <c r="I185" s="9" t="s">
        <v>39</v>
      </c>
      <c r="J185" s="9" t="s">
        <v>33</v>
      </c>
      <c r="K185" s="9">
        <v>12.23</v>
      </c>
      <c r="L185" s="2">
        <v>3</v>
      </c>
      <c r="M185" s="2">
        <v>6</v>
      </c>
      <c r="N185" s="2">
        <v>300</v>
      </c>
      <c r="P185" s="4">
        <f t="shared" si="84"/>
        <v>1</v>
      </c>
    </row>
    <row r="186" spans="1:16" x14ac:dyDescent="0.25">
      <c r="A186" s="1" t="str">
        <f t="shared" si="87"/>
        <v>P12</v>
      </c>
      <c r="B186" s="1">
        <f t="shared" si="87"/>
        <v>12</v>
      </c>
      <c r="C186" s="1">
        <f t="shared" si="87"/>
        <v>6</v>
      </c>
      <c r="D186" s="1">
        <f t="shared" si="87"/>
        <v>3</v>
      </c>
      <c r="E186" s="1">
        <f t="shared" si="87"/>
        <v>5</v>
      </c>
      <c r="F186" s="2">
        <f t="shared" si="83"/>
        <v>4</v>
      </c>
      <c r="H186" s="9" t="s">
        <v>92</v>
      </c>
      <c r="I186" s="9" t="s">
        <v>40</v>
      </c>
      <c r="J186" s="9" t="s">
        <v>33</v>
      </c>
      <c r="K186" s="9">
        <v>11.33</v>
      </c>
      <c r="L186" s="2">
        <v>3</v>
      </c>
      <c r="M186" s="2">
        <v>5</v>
      </c>
      <c r="N186" s="2">
        <v>0</v>
      </c>
      <c r="P186" s="4">
        <f t="shared" si="84"/>
        <v>1</v>
      </c>
    </row>
    <row r="187" spans="1:16" x14ac:dyDescent="0.25">
      <c r="A187" s="1" t="str">
        <f t="shared" si="87"/>
        <v>P12</v>
      </c>
      <c r="B187" s="1">
        <f t="shared" si="87"/>
        <v>12</v>
      </c>
      <c r="C187" s="1">
        <f t="shared" si="87"/>
        <v>7</v>
      </c>
      <c r="D187" s="1">
        <f t="shared" si="87"/>
        <v>2</v>
      </c>
      <c r="E187" s="1">
        <f t="shared" si="87"/>
        <v>4</v>
      </c>
      <c r="F187" s="2">
        <f t="shared" si="83"/>
        <v>4</v>
      </c>
      <c r="H187" s="9" t="s">
        <v>92</v>
      </c>
      <c r="I187" s="9" t="s">
        <v>41</v>
      </c>
      <c r="J187" s="9" t="s">
        <v>33</v>
      </c>
      <c r="K187" s="9">
        <v>8.11</v>
      </c>
      <c r="L187" s="2">
        <v>2</v>
      </c>
      <c r="M187" s="2">
        <v>4</v>
      </c>
      <c r="N187" s="2">
        <v>0.01</v>
      </c>
      <c r="P187" s="4">
        <f t="shared" si="84"/>
        <v>1</v>
      </c>
    </row>
    <row r="188" spans="1:16" x14ac:dyDescent="0.25">
      <c r="A188" s="1" t="str">
        <f t="shared" si="87"/>
        <v>P12</v>
      </c>
      <c r="B188" s="1">
        <f t="shared" si="87"/>
        <v>12</v>
      </c>
      <c r="C188" s="1">
        <f t="shared" si="87"/>
        <v>8</v>
      </c>
      <c r="D188" s="1">
        <f t="shared" si="87"/>
        <v>2</v>
      </c>
      <c r="E188" s="1">
        <f t="shared" si="87"/>
        <v>4</v>
      </c>
      <c r="F188" s="2">
        <f t="shared" si="83"/>
        <v>4</v>
      </c>
      <c r="H188" s="9" t="s">
        <v>92</v>
      </c>
      <c r="I188" s="9" t="s">
        <v>42</v>
      </c>
      <c r="J188" s="9" t="s">
        <v>33</v>
      </c>
      <c r="K188" s="9">
        <v>8.2200000000000006</v>
      </c>
      <c r="L188" s="2">
        <v>2</v>
      </c>
      <c r="M188" s="2">
        <v>4</v>
      </c>
      <c r="N188" s="2">
        <v>0</v>
      </c>
      <c r="P188" s="4">
        <f t="shared" si="84"/>
        <v>1</v>
      </c>
    </row>
    <row r="189" spans="1:16" x14ac:dyDescent="0.25">
      <c r="A189" s="1" t="str">
        <f t="shared" ref="A189:E204" si="88">A130</f>
        <v>P12</v>
      </c>
      <c r="B189" s="1">
        <f t="shared" si="88"/>
        <v>12</v>
      </c>
      <c r="C189" s="1">
        <f t="shared" si="88"/>
        <v>9</v>
      </c>
      <c r="D189" s="1">
        <f t="shared" si="88"/>
        <v>2</v>
      </c>
      <c r="E189" s="1">
        <f t="shared" si="88"/>
        <v>3</v>
      </c>
      <c r="F189" s="2">
        <f t="shared" si="83"/>
        <v>4</v>
      </c>
      <c r="H189" s="9" t="s">
        <v>92</v>
      </c>
      <c r="I189" s="9" t="s">
        <v>43</v>
      </c>
      <c r="J189" s="9" t="s">
        <v>33</v>
      </c>
      <c r="K189" s="9">
        <v>7.31</v>
      </c>
      <c r="L189" s="2">
        <v>2</v>
      </c>
      <c r="M189" s="2">
        <v>3</v>
      </c>
      <c r="N189" s="2">
        <v>0.09</v>
      </c>
      <c r="P189" s="4">
        <f t="shared" si="84"/>
        <v>1</v>
      </c>
    </row>
    <row r="190" spans="1:16" x14ac:dyDescent="0.25">
      <c r="A190" s="1" t="str">
        <f t="shared" si="88"/>
        <v>P16</v>
      </c>
      <c r="B190" s="1">
        <f t="shared" si="88"/>
        <v>16</v>
      </c>
      <c r="C190" s="1">
        <f t="shared" si="88"/>
        <v>15</v>
      </c>
      <c r="D190" s="1">
        <f t="shared" si="88"/>
        <v>4</v>
      </c>
      <c r="E190" s="1">
        <f t="shared" si="88"/>
        <v>6</v>
      </c>
      <c r="F190" s="2">
        <f t="shared" ref="F190:F253" si="89">F131+1</f>
        <v>4</v>
      </c>
      <c r="H190" s="9" t="s">
        <v>92</v>
      </c>
      <c r="I190" s="9" t="s">
        <v>44</v>
      </c>
      <c r="J190" s="9" t="s">
        <v>33</v>
      </c>
      <c r="K190" s="9">
        <v>14.68</v>
      </c>
      <c r="L190" s="2">
        <v>4</v>
      </c>
      <c r="M190" s="2">
        <v>6</v>
      </c>
      <c r="N190" s="2">
        <v>300</v>
      </c>
      <c r="P190" s="4">
        <f t="shared" si="84"/>
        <v>1</v>
      </c>
    </row>
    <row r="191" spans="1:16" x14ac:dyDescent="0.25">
      <c r="A191" s="1" t="str">
        <f t="shared" si="88"/>
        <v>P16</v>
      </c>
      <c r="B191" s="1">
        <f t="shared" si="88"/>
        <v>16</v>
      </c>
      <c r="C191" s="1">
        <f t="shared" si="88"/>
        <v>16</v>
      </c>
      <c r="D191" s="1">
        <f t="shared" si="88"/>
        <v>3</v>
      </c>
      <c r="E191" s="1">
        <f t="shared" si="88"/>
        <v>6</v>
      </c>
      <c r="F191" s="2">
        <f t="shared" si="89"/>
        <v>4</v>
      </c>
      <c r="H191" s="9" t="s">
        <v>92</v>
      </c>
      <c r="I191" s="9" t="s">
        <v>45</v>
      </c>
      <c r="J191" s="9" t="s">
        <v>33</v>
      </c>
      <c r="K191" s="9">
        <v>12.29</v>
      </c>
      <c r="L191" s="2">
        <v>3</v>
      </c>
      <c r="M191" s="2">
        <v>6</v>
      </c>
      <c r="N191" s="2">
        <v>0</v>
      </c>
      <c r="P191" s="4">
        <f t="shared" si="84"/>
        <v>1</v>
      </c>
    </row>
    <row r="192" spans="1:16" x14ac:dyDescent="0.25">
      <c r="A192" s="1" t="str">
        <f t="shared" si="88"/>
        <v>P16</v>
      </c>
      <c r="B192" s="1">
        <f t="shared" si="88"/>
        <v>16</v>
      </c>
      <c r="C192" s="1">
        <f t="shared" si="88"/>
        <v>18</v>
      </c>
      <c r="D192" s="1">
        <f t="shared" si="88"/>
        <v>3</v>
      </c>
      <c r="E192" s="1">
        <f t="shared" si="88"/>
        <v>6</v>
      </c>
      <c r="F192" s="2">
        <f t="shared" si="89"/>
        <v>4</v>
      </c>
      <c r="H192" s="9" t="s">
        <v>92</v>
      </c>
      <c r="I192" s="9" t="s">
        <v>46</v>
      </c>
      <c r="J192" s="9" t="s">
        <v>33</v>
      </c>
      <c r="K192" s="9">
        <v>12.41</v>
      </c>
      <c r="L192" s="2">
        <v>3</v>
      </c>
      <c r="M192" s="2">
        <v>6</v>
      </c>
      <c r="N192" s="2">
        <v>300</v>
      </c>
      <c r="P192" s="4">
        <f t="shared" si="84"/>
        <v>1</v>
      </c>
    </row>
    <row r="193" spans="1:16" x14ac:dyDescent="0.25">
      <c r="A193" s="1" t="str">
        <f t="shared" si="88"/>
        <v>P16</v>
      </c>
      <c r="B193" s="1">
        <f t="shared" si="88"/>
        <v>16</v>
      </c>
      <c r="C193" s="1">
        <f t="shared" si="88"/>
        <v>19</v>
      </c>
      <c r="D193" s="1">
        <f t="shared" si="88"/>
        <v>3</v>
      </c>
      <c r="E193" s="1">
        <f t="shared" si="88"/>
        <v>5</v>
      </c>
      <c r="F193" s="2">
        <f t="shared" si="89"/>
        <v>4</v>
      </c>
      <c r="H193" s="9" t="s">
        <v>92</v>
      </c>
      <c r="I193" s="9" t="s">
        <v>47</v>
      </c>
      <c r="J193" s="9" t="s">
        <v>33</v>
      </c>
      <c r="K193" s="9">
        <v>12.49</v>
      </c>
      <c r="L193" s="2">
        <v>3</v>
      </c>
      <c r="M193" s="2">
        <v>6</v>
      </c>
      <c r="N193" s="2">
        <v>300</v>
      </c>
      <c r="P193" s="4">
        <f t="shared" si="84"/>
        <v>0</v>
      </c>
    </row>
    <row r="194" spans="1:16" x14ac:dyDescent="0.25">
      <c r="A194" s="1" t="str">
        <f t="shared" si="88"/>
        <v>P16</v>
      </c>
      <c r="B194" s="1">
        <f t="shared" si="88"/>
        <v>16</v>
      </c>
      <c r="C194" s="1">
        <f t="shared" si="88"/>
        <v>20</v>
      </c>
      <c r="D194" s="1">
        <f t="shared" si="88"/>
        <v>3</v>
      </c>
      <c r="E194" s="1">
        <f t="shared" si="88"/>
        <v>5</v>
      </c>
      <c r="F194" s="2">
        <f t="shared" si="89"/>
        <v>4</v>
      </c>
      <c r="H194" s="9" t="s">
        <v>92</v>
      </c>
      <c r="I194" s="9" t="s">
        <v>48</v>
      </c>
      <c r="J194" s="9" t="s">
        <v>33</v>
      </c>
      <c r="K194" s="9">
        <v>12.57</v>
      </c>
      <c r="L194" s="2">
        <v>3</v>
      </c>
      <c r="M194" s="2">
        <v>6</v>
      </c>
      <c r="N194" s="2">
        <v>300</v>
      </c>
      <c r="P194" s="4">
        <f t="shared" si="84"/>
        <v>0</v>
      </c>
    </row>
    <row r="195" spans="1:16" x14ac:dyDescent="0.25">
      <c r="A195" s="1" t="str">
        <f t="shared" si="88"/>
        <v>P16</v>
      </c>
      <c r="B195" s="1">
        <f t="shared" si="88"/>
        <v>16</v>
      </c>
      <c r="C195" s="1">
        <f t="shared" si="88"/>
        <v>21</v>
      </c>
      <c r="D195" s="1">
        <f t="shared" si="88"/>
        <v>3</v>
      </c>
      <c r="E195" s="1">
        <f t="shared" si="88"/>
        <v>5</v>
      </c>
      <c r="F195" s="2">
        <f t="shared" si="89"/>
        <v>4</v>
      </c>
      <c r="H195" s="9" t="s">
        <v>92</v>
      </c>
      <c r="I195" s="9" t="s">
        <v>49</v>
      </c>
      <c r="J195" s="9" t="s">
        <v>33</v>
      </c>
      <c r="K195" s="9">
        <v>11.57</v>
      </c>
      <c r="L195" s="2">
        <v>3</v>
      </c>
      <c r="M195" s="2">
        <v>5</v>
      </c>
      <c r="N195" s="2">
        <v>300</v>
      </c>
      <c r="P195" s="4">
        <f t="shared" ref="P195:P258" si="90">IF(D195*100+E195=L195*100+M195,1,0)</f>
        <v>1</v>
      </c>
    </row>
    <row r="196" spans="1:16" x14ac:dyDescent="0.25">
      <c r="A196" s="1" t="str">
        <f t="shared" si="88"/>
        <v>P16</v>
      </c>
      <c r="B196" s="1">
        <f t="shared" si="88"/>
        <v>16</v>
      </c>
      <c r="C196" s="1">
        <f t="shared" si="88"/>
        <v>22</v>
      </c>
      <c r="D196" s="1">
        <f t="shared" si="88"/>
        <v>2</v>
      </c>
      <c r="E196" s="1">
        <f t="shared" si="88"/>
        <v>4</v>
      </c>
      <c r="F196" s="2">
        <f t="shared" si="89"/>
        <v>4</v>
      </c>
      <c r="H196" s="9" t="s">
        <v>92</v>
      </c>
      <c r="I196" s="9" t="s">
        <v>50</v>
      </c>
      <c r="J196" s="9" t="s">
        <v>33</v>
      </c>
      <c r="K196" s="9">
        <v>8.1</v>
      </c>
      <c r="L196" s="2">
        <v>2</v>
      </c>
      <c r="M196" s="2">
        <v>4</v>
      </c>
      <c r="N196" s="2">
        <v>0.01</v>
      </c>
      <c r="P196" s="4">
        <f t="shared" si="90"/>
        <v>1</v>
      </c>
    </row>
    <row r="197" spans="1:16" x14ac:dyDescent="0.25">
      <c r="A197" s="1" t="str">
        <f t="shared" si="88"/>
        <v>P24</v>
      </c>
      <c r="B197" s="1">
        <f t="shared" si="88"/>
        <v>24</v>
      </c>
      <c r="C197" s="1">
        <f t="shared" si="88"/>
        <v>18</v>
      </c>
      <c r="D197" s="1">
        <f t="shared" si="88"/>
        <v>4</v>
      </c>
      <c r="E197" s="1">
        <f t="shared" si="88"/>
        <v>8</v>
      </c>
      <c r="F197" s="2">
        <f t="shared" si="89"/>
        <v>4</v>
      </c>
      <c r="H197" s="9" t="s">
        <v>92</v>
      </c>
      <c r="I197" s="9" t="s">
        <v>51</v>
      </c>
      <c r="J197" s="9" t="s">
        <v>33</v>
      </c>
      <c r="K197" s="9">
        <v>16.07</v>
      </c>
      <c r="L197" s="2">
        <v>4</v>
      </c>
      <c r="M197" s="2">
        <v>8</v>
      </c>
      <c r="N197" s="2">
        <v>0</v>
      </c>
      <c r="P197" s="4">
        <f t="shared" si="90"/>
        <v>1</v>
      </c>
    </row>
    <row r="198" spans="1:16" x14ac:dyDescent="0.25">
      <c r="A198" s="1" t="str">
        <f t="shared" si="88"/>
        <v>P24</v>
      </c>
      <c r="B198" s="1">
        <f t="shared" si="88"/>
        <v>24</v>
      </c>
      <c r="C198" s="1">
        <f t="shared" si="88"/>
        <v>20</v>
      </c>
      <c r="D198" s="1">
        <f t="shared" si="88"/>
        <v>4</v>
      </c>
      <c r="E198" s="1">
        <f t="shared" si="88"/>
        <v>7</v>
      </c>
      <c r="F198" s="2">
        <f t="shared" si="89"/>
        <v>4</v>
      </c>
      <c r="H198" s="9" t="s">
        <v>92</v>
      </c>
      <c r="I198" s="9" t="s">
        <v>52</v>
      </c>
      <c r="J198" s="9" t="s">
        <v>33</v>
      </c>
      <c r="K198" s="9">
        <v>16.16</v>
      </c>
      <c r="L198" s="2">
        <v>4</v>
      </c>
      <c r="M198" s="2">
        <v>8</v>
      </c>
      <c r="N198" s="2">
        <v>300</v>
      </c>
      <c r="P198" s="4">
        <f t="shared" si="90"/>
        <v>0</v>
      </c>
    </row>
    <row r="199" spans="1:16" x14ac:dyDescent="0.25">
      <c r="A199" s="1" t="str">
        <f t="shared" si="88"/>
        <v>P24</v>
      </c>
      <c r="B199" s="1">
        <f t="shared" si="88"/>
        <v>24</v>
      </c>
      <c r="C199" s="1">
        <f t="shared" si="88"/>
        <v>24</v>
      </c>
      <c r="D199" s="1">
        <f t="shared" si="88"/>
        <v>3</v>
      </c>
      <c r="E199" s="1">
        <f t="shared" si="88"/>
        <v>6</v>
      </c>
      <c r="F199" s="2">
        <f t="shared" si="89"/>
        <v>4</v>
      </c>
      <c r="H199" s="9" t="s">
        <v>92</v>
      </c>
      <c r="I199" s="9" t="s">
        <v>53</v>
      </c>
      <c r="J199" s="9" t="s">
        <v>33</v>
      </c>
      <c r="K199" s="9">
        <v>12.03</v>
      </c>
      <c r="L199" s="2">
        <v>3</v>
      </c>
      <c r="M199" s="2">
        <v>6</v>
      </c>
      <c r="N199" s="2">
        <v>0.01</v>
      </c>
      <c r="P199" s="4">
        <f t="shared" si="90"/>
        <v>1</v>
      </c>
    </row>
    <row r="200" spans="1:16" x14ac:dyDescent="0.25">
      <c r="A200" s="1" t="str">
        <f t="shared" si="88"/>
        <v>P24</v>
      </c>
      <c r="B200" s="1">
        <f t="shared" si="88"/>
        <v>24</v>
      </c>
      <c r="C200" s="1">
        <f t="shared" si="88"/>
        <v>25</v>
      </c>
      <c r="D200" s="1">
        <f t="shared" si="88"/>
        <v>3</v>
      </c>
      <c r="E200" s="1">
        <f t="shared" si="88"/>
        <v>6</v>
      </c>
      <c r="F200" s="2">
        <f t="shared" si="89"/>
        <v>4</v>
      </c>
      <c r="H200" s="9" t="s">
        <v>92</v>
      </c>
      <c r="I200" s="9" t="s">
        <v>54</v>
      </c>
      <c r="J200" s="9" t="s">
        <v>33</v>
      </c>
      <c r="K200" s="9">
        <v>12.11</v>
      </c>
      <c r="L200" s="2">
        <v>3</v>
      </c>
      <c r="M200" s="2">
        <v>6</v>
      </c>
      <c r="N200" s="2">
        <v>0.01</v>
      </c>
      <c r="P200" s="4">
        <f t="shared" si="90"/>
        <v>1</v>
      </c>
    </row>
    <row r="201" spans="1:16" x14ac:dyDescent="0.25">
      <c r="A201" s="1" t="str">
        <f t="shared" si="88"/>
        <v>P24</v>
      </c>
      <c r="B201" s="1">
        <f t="shared" si="88"/>
        <v>24</v>
      </c>
      <c r="C201" s="1">
        <f t="shared" si="88"/>
        <v>30</v>
      </c>
      <c r="D201" s="1">
        <f t="shared" si="88"/>
        <v>3</v>
      </c>
      <c r="E201" s="1">
        <f t="shared" si="88"/>
        <v>5</v>
      </c>
      <c r="F201" s="2">
        <f t="shared" si="89"/>
        <v>4</v>
      </c>
      <c r="H201" s="9" t="s">
        <v>92</v>
      </c>
      <c r="I201" s="9" t="s">
        <v>55</v>
      </c>
      <c r="J201" s="9" t="s">
        <v>33</v>
      </c>
      <c r="K201" s="9">
        <v>11.24</v>
      </c>
      <c r="L201" s="2">
        <v>3</v>
      </c>
      <c r="M201" s="2">
        <v>5</v>
      </c>
      <c r="N201" s="2">
        <v>0</v>
      </c>
      <c r="P201" s="4">
        <f t="shared" si="90"/>
        <v>1</v>
      </c>
    </row>
    <row r="202" spans="1:16" x14ac:dyDescent="0.25">
      <c r="A202" s="1" t="str">
        <f t="shared" si="88"/>
        <v>P24</v>
      </c>
      <c r="B202" s="1">
        <f t="shared" si="88"/>
        <v>24</v>
      </c>
      <c r="C202" s="1">
        <f t="shared" si="88"/>
        <v>35</v>
      </c>
      <c r="D202" s="1">
        <f t="shared" si="88"/>
        <v>2</v>
      </c>
      <c r="E202" s="1">
        <f t="shared" si="88"/>
        <v>4</v>
      </c>
      <c r="F202" s="2">
        <f t="shared" si="89"/>
        <v>4</v>
      </c>
      <c r="H202" s="9" t="s">
        <v>92</v>
      </c>
      <c r="I202" s="9" t="s">
        <v>56</v>
      </c>
      <c r="J202" s="9" t="s">
        <v>33</v>
      </c>
      <c r="K202" s="9">
        <v>8</v>
      </c>
      <c r="L202" s="2">
        <v>2</v>
      </c>
      <c r="M202" s="2">
        <v>4</v>
      </c>
      <c r="N202" s="2">
        <v>0.01</v>
      </c>
      <c r="P202" s="4">
        <f t="shared" si="90"/>
        <v>1</v>
      </c>
    </row>
    <row r="203" spans="1:16" x14ac:dyDescent="0.25">
      <c r="A203" s="1" t="str">
        <f t="shared" si="88"/>
        <v>P24</v>
      </c>
      <c r="B203" s="1">
        <f t="shared" si="88"/>
        <v>24</v>
      </c>
      <c r="C203" s="1">
        <f t="shared" si="88"/>
        <v>40</v>
      </c>
      <c r="D203" s="1">
        <f t="shared" si="88"/>
        <v>2</v>
      </c>
      <c r="E203" s="1">
        <f t="shared" si="88"/>
        <v>4</v>
      </c>
      <c r="F203" s="2">
        <f t="shared" si="89"/>
        <v>4</v>
      </c>
      <c r="H203" s="9" t="s">
        <v>92</v>
      </c>
      <c r="I203" s="9" t="s">
        <v>57</v>
      </c>
      <c r="J203" s="9" t="s">
        <v>33</v>
      </c>
      <c r="K203" s="9">
        <v>8.1199999999999992</v>
      </c>
      <c r="L203" s="2">
        <v>2</v>
      </c>
      <c r="M203" s="2">
        <v>4</v>
      </c>
      <c r="N203" s="2">
        <v>0.01</v>
      </c>
      <c r="P203" s="4">
        <f t="shared" si="90"/>
        <v>1</v>
      </c>
    </row>
    <row r="204" spans="1:16" x14ac:dyDescent="0.25">
      <c r="A204" s="1" t="str">
        <f t="shared" si="88"/>
        <v>P65</v>
      </c>
      <c r="B204" s="1">
        <f t="shared" si="88"/>
        <v>65</v>
      </c>
      <c r="C204" s="1">
        <f t="shared" si="88"/>
        <v>326</v>
      </c>
      <c r="D204" s="1">
        <f t="shared" si="88"/>
        <v>8</v>
      </c>
      <c r="E204" s="1">
        <f t="shared" si="88"/>
        <v>16</v>
      </c>
      <c r="F204" s="2">
        <f t="shared" si="89"/>
        <v>4</v>
      </c>
      <c r="H204" s="9" t="s">
        <v>92</v>
      </c>
      <c r="I204" s="9" t="s">
        <v>58</v>
      </c>
      <c r="J204" s="9" t="s">
        <v>33</v>
      </c>
      <c r="K204" s="9">
        <v>35.24</v>
      </c>
      <c r="L204" s="2">
        <v>9</v>
      </c>
      <c r="M204" s="2">
        <v>17</v>
      </c>
      <c r="N204" s="2">
        <v>300.01</v>
      </c>
      <c r="P204" s="4">
        <f t="shared" si="90"/>
        <v>0</v>
      </c>
    </row>
    <row r="205" spans="1:16" x14ac:dyDescent="0.25">
      <c r="A205" s="1" t="str">
        <f t="shared" ref="A205:E220" si="91">A146</f>
        <v>P65</v>
      </c>
      <c r="B205" s="1">
        <f t="shared" si="91"/>
        <v>65</v>
      </c>
      <c r="C205" s="1">
        <f t="shared" si="91"/>
        <v>381</v>
      </c>
      <c r="D205" s="1">
        <f t="shared" si="91"/>
        <v>7</v>
      </c>
      <c r="E205" s="1">
        <f t="shared" si="91"/>
        <v>14</v>
      </c>
      <c r="F205" s="2">
        <f t="shared" si="89"/>
        <v>4</v>
      </c>
      <c r="H205" s="9" t="s">
        <v>92</v>
      </c>
      <c r="I205" s="9" t="s">
        <v>59</v>
      </c>
      <c r="J205" s="9" t="s">
        <v>33</v>
      </c>
      <c r="K205" s="9">
        <v>28.11</v>
      </c>
      <c r="L205" s="2">
        <v>7</v>
      </c>
      <c r="M205" s="2">
        <v>14</v>
      </c>
      <c r="N205" s="2">
        <v>0.37</v>
      </c>
      <c r="P205" s="4">
        <f t="shared" si="90"/>
        <v>1</v>
      </c>
    </row>
    <row r="206" spans="1:16" x14ac:dyDescent="0.25">
      <c r="A206" s="1" t="str">
        <f t="shared" si="91"/>
        <v>P65</v>
      </c>
      <c r="B206" s="1">
        <f t="shared" si="91"/>
        <v>65</v>
      </c>
      <c r="C206" s="1">
        <f t="shared" si="91"/>
        <v>435</v>
      </c>
      <c r="D206" s="1">
        <f t="shared" si="91"/>
        <v>6</v>
      </c>
      <c r="E206" s="1">
        <f t="shared" si="91"/>
        <v>12</v>
      </c>
      <c r="F206" s="2">
        <f t="shared" si="89"/>
        <v>4</v>
      </c>
      <c r="H206" s="9" t="s">
        <v>92</v>
      </c>
      <c r="I206" s="9" t="s">
        <v>60</v>
      </c>
      <c r="J206" s="9" t="s">
        <v>33</v>
      </c>
      <c r="K206" s="9">
        <v>24.09</v>
      </c>
      <c r="L206" s="2">
        <v>6</v>
      </c>
      <c r="M206" s="2">
        <v>12</v>
      </c>
      <c r="N206" s="2">
        <v>0.22</v>
      </c>
      <c r="P206" s="4">
        <f t="shared" si="90"/>
        <v>1</v>
      </c>
    </row>
    <row r="207" spans="1:16" x14ac:dyDescent="0.25">
      <c r="A207" s="1" t="str">
        <f t="shared" si="91"/>
        <v>P65</v>
      </c>
      <c r="B207" s="1">
        <f t="shared" si="91"/>
        <v>65</v>
      </c>
      <c r="C207" s="1">
        <f t="shared" si="91"/>
        <v>490</v>
      </c>
      <c r="D207" s="1">
        <f t="shared" si="91"/>
        <v>6</v>
      </c>
      <c r="E207" s="1">
        <f t="shared" si="91"/>
        <v>11</v>
      </c>
      <c r="F207" s="2">
        <f t="shared" si="89"/>
        <v>4</v>
      </c>
      <c r="H207" s="9" t="s">
        <v>92</v>
      </c>
      <c r="I207" s="9" t="s">
        <v>61</v>
      </c>
      <c r="J207" s="9" t="s">
        <v>33</v>
      </c>
      <c r="K207" s="9">
        <v>23.2</v>
      </c>
      <c r="L207" s="2">
        <v>6</v>
      </c>
      <c r="M207" s="2">
        <v>11</v>
      </c>
      <c r="N207" s="2">
        <v>0.03</v>
      </c>
      <c r="P207" s="4">
        <f t="shared" si="90"/>
        <v>1</v>
      </c>
    </row>
    <row r="208" spans="1:16" x14ac:dyDescent="0.25">
      <c r="A208" s="1" t="str">
        <f t="shared" si="91"/>
        <v>P65</v>
      </c>
      <c r="B208" s="1">
        <f t="shared" si="91"/>
        <v>65</v>
      </c>
      <c r="C208" s="1">
        <f t="shared" si="91"/>
        <v>512</v>
      </c>
      <c r="D208" s="1">
        <f t="shared" si="91"/>
        <v>5</v>
      </c>
      <c r="E208" s="1">
        <f t="shared" si="91"/>
        <v>10</v>
      </c>
      <c r="F208" s="2">
        <f t="shared" si="89"/>
        <v>4</v>
      </c>
      <c r="H208" s="9" t="s">
        <v>92</v>
      </c>
      <c r="I208" s="9" t="s">
        <v>62</v>
      </c>
      <c r="J208" s="9" t="s">
        <v>33</v>
      </c>
      <c r="K208" s="9">
        <v>23.2</v>
      </c>
      <c r="L208" s="2">
        <v>6</v>
      </c>
      <c r="M208" s="2">
        <v>11</v>
      </c>
      <c r="N208" s="2">
        <v>300</v>
      </c>
      <c r="P208" s="4">
        <f t="shared" si="90"/>
        <v>0</v>
      </c>
    </row>
    <row r="209" spans="1:16" x14ac:dyDescent="0.25">
      <c r="A209" s="1" t="str">
        <f t="shared" si="91"/>
        <v>P65</v>
      </c>
      <c r="B209" s="1">
        <f t="shared" si="91"/>
        <v>65</v>
      </c>
      <c r="C209" s="1">
        <f t="shared" si="91"/>
        <v>544</v>
      </c>
      <c r="D209" s="1">
        <f t="shared" si="91"/>
        <v>5</v>
      </c>
      <c r="E209" s="1">
        <f t="shared" si="91"/>
        <v>10</v>
      </c>
      <c r="F209" s="2">
        <f t="shared" si="89"/>
        <v>4</v>
      </c>
      <c r="H209" s="9" t="s">
        <v>92</v>
      </c>
      <c r="I209" s="9" t="s">
        <v>63</v>
      </c>
      <c r="J209" s="9" t="s">
        <v>33</v>
      </c>
      <c r="K209" s="9">
        <v>20.100000000000001</v>
      </c>
      <c r="L209" s="2">
        <v>5</v>
      </c>
      <c r="M209" s="2">
        <v>10</v>
      </c>
      <c r="N209" s="2">
        <v>0.03</v>
      </c>
      <c r="P209" s="4">
        <f t="shared" si="90"/>
        <v>1</v>
      </c>
    </row>
    <row r="210" spans="1:16" x14ac:dyDescent="0.25">
      <c r="A210" s="1" t="str">
        <f t="shared" si="91"/>
        <v>P148</v>
      </c>
      <c r="B210" s="1">
        <f t="shared" si="91"/>
        <v>148</v>
      </c>
      <c r="C210" s="1">
        <f t="shared" si="91"/>
        <v>204</v>
      </c>
      <c r="D210" s="1">
        <f t="shared" si="91"/>
        <v>13</v>
      </c>
      <c r="E210" s="1">
        <f t="shared" si="91"/>
        <v>26</v>
      </c>
      <c r="F210" s="2">
        <f t="shared" si="89"/>
        <v>4</v>
      </c>
      <c r="H210" s="9" t="s">
        <v>92</v>
      </c>
      <c r="I210" s="9" t="s">
        <v>64</v>
      </c>
      <c r="J210" s="9" t="s">
        <v>33</v>
      </c>
      <c r="K210" s="9">
        <v>52.17</v>
      </c>
      <c r="L210" s="2">
        <v>13</v>
      </c>
      <c r="M210" s="2">
        <v>26</v>
      </c>
      <c r="N210" s="2">
        <v>1.39</v>
      </c>
      <c r="P210" s="4">
        <f t="shared" si="90"/>
        <v>1</v>
      </c>
    </row>
    <row r="211" spans="1:16" x14ac:dyDescent="0.25">
      <c r="A211" s="1" t="str">
        <f t="shared" si="91"/>
        <v>P148</v>
      </c>
      <c r="B211" s="1">
        <f t="shared" si="91"/>
        <v>148</v>
      </c>
      <c r="C211" s="1">
        <f t="shared" si="91"/>
        <v>228</v>
      </c>
      <c r="D211" s="1">
        <f t="shared" si="91"/>
        <v>12</v>
      </c>
      <c r="E211" s="1">
        <f t="shared" si="91"/>
        <v>23</v>
      </c>
      <c r="F211" s="2">
        <f t="shared" si="89"/>
        <v>4</v>
      </c>
      <c r="H211" s="9" t="s">
        <v>92</v>
      </c>
      <c r="I211" s="9" t="s">
        <v>65</v>
      </c>
      <c r="J211" s="9" t="s">
        <v>33</v>
      </c>
      <c r="K211" s="9">
        <v>48.21</v>
      </c>
      <c r="L211" s="2">
        <v>12</v>
      </c>
      <c r="M211" s="2">
        <v>24</v>
      </c>
      <c r="N211" s="2">
        <v>300.02</v>
      </c>
      <c r="P211" s="4">
        <f t="shared" si="90"/>
        <v>0</v>
      </c>
    </row>
    <row r="212" spans="1:16" x14ac:dyDescent="0.25">
      <c r="A212" s="1" t="str">
        <f t="shared" si="91"/>
        <v>P148</v>
      </c>
      <c r="B212" s="1">
        <f t="shared" si="91"/>
        <v>148</v>
      </c>
      <c r="C212" s="1">
        <f t="shared" si="91"/>
        <v>255</v>
      </c>
      <c r="D212" s="1">
        <f t="shared" si="91"/>
        <v>11</v>
      </c>
      <c r="E212" s="1">
        <f t="shared" si="91"/>
        <v>21</v>
      </c>
      <c r="F212" s="2">
        <f t="shared" si="89"/>
        <v>4</v>
      </c>
      <c r="H212" s="9" t="s">
        <v>92</v>
      </c>
      <c r="I212" s="9" t="s">
        <v>66</v>
      </c>
      <c r="J212" s="9" t="s">
        <v>33</v>
      </c>
      <c r="K212" s="9">
        <v>43.27</v>
      </c>
      <c r="L212" s="2">
        <v>11</v>
      </c>
      <c r="M212" s="2">
        <v>21</v>
      </c>
      <c r="N212" s="2">
        <v>0.04</v>
      </c>
      <c r="P212" s="4">
        <f t="shared" si="90"/>
        <v>1</v>
      </c>
    </row>
    <row r="213" spans="1:16" x14ac:dyDescent="0.25">
      <c r="A213" s="1" t="str">
        <f t="shared" si="91"/>
        <v>P148</v>
      </c>
      <c r="B213" s="1">
        <f t="shared" si="91"/>
        <v>148</v>
      </c>
      <c r="C213" s="1">
        <f t="shared" si="91"/>
        <v>306</v>
      </c>
      <c r="D213" s="1">
        <f t="shared" si="91"/>
        <v>9</v>
      </c>
      <c r="E213" s="1">
        <f t="shared" si="91"/>
        <v>17</v>
      </c>
      <c r="F213" s="2">
        <f t="shared" si="89"/>
        <v>4</v>
      </c>
      <c r="H213" s="9" t="s">
        <v>92</v>
      </c>
      <c r="I213" s="9" t="s">
        <v>67</v>
      </c>
      <c r="J213" s="9" t="s">
        <v>33</v>
      </c>
      <c r="K213" s="9">
        <v>35.119999999999997</v>
      </c>
      <c r="L213" s="2">
        <v>9</v>
      </c>
      <c r="M213" s="2">
        <v>17</v>
      </c>
      <c r="N213" s="2">
        <v>22.67</v>
      </c>
      <c r="P213" s="4">
        <f t="shared" si="90"/>
        <v>1</v>
      </c>
    </row>
    <row r="214" spans="1:16" x14ac:dyDescent="0.25">
      <c r="A214" s="1" t="str">
        <f t="shared" si="91"/>
        <v>P148</v>
      </c>
      <c r="B214" s="1">
        <f t="shared" si="91"/>
        <v>148</v>
      </c>
      <c r="C214" s="1">
        <f t="shared" si="91"/>
        <v>357</v>
      </c>
      <c r="D214" s="1">
        <f t="shared" si="91"/>
        <v>8</v>
      </c>
      <c r="E214" s="1">
        <f t="shared" si="91"/>
        <v>15</v>
      </c>
      <c r="F214" s="2">
        <f t="shared" si="89"/>
        <v>4</v>
      </c>
      <c r="H214" s="9" t="s">
        <v>92</v>
      </c>
      <c r="I214" s="9" t="s">
        <v>68</v>
      </c>
      <c r="J214" s="9" t="s">
        <v>33</v>
      </c>
      <c r="K214" s="9">
        <v>31.2</v>
      </c>
      <c r="L214" s="2">
        <v>8</v>
      </c>
      <c r="M214" s="2">
        <v>15</v>
      </c>
      <c r="N214" s="2">
        <v>0.08</v>
      </c>
      <c r="P214" s="4">
        <f t="shared" si="90"/>
        <v>1</v>
      </c>
    </row>
    <row r="215" spans="1:16" x14ac:dyDescent="0.25">
      <c r="A215" s="1" t="str">
        <f t="shared" si="91"/>
        <v>P148</v>
      </c>
      <c r="B215" s="1">
        <f t="shared" si="91"/>
        <v>148</v>
      </c>
      <c r="C215" s="1">
        <f t="shared" si="91"/>
        <v>378</v>
      </c>
      <c r="D215" s="1">
        <f t="shared" si="91"/>
        <v>7</v>
      </c>
      <c r="E215" s="1">
        <f t="shared" si="91"/>
        <v>14</v>
      </c>
      <c r="F215" s="2">
        <f t="shared" si="89"/>
        <v>4</v>
      </c>
      <c r="H215" s="9" t="s">
        <v>92</v>
      </c>
      <c r="I215" s="9" t="s">
        <v>69</v>
      </c>
      <c r="J215" s="9" t="s">
        <v>33</v>
      </c>
      <c r="K215" s="9">
        <v>28.07</v>
      </c>
      <c r="L215" s="2">
        <v>7</v>
      </c>
      <c r="M215" s="2">
        <v>14</v>
      </c>
      <c r="N215" s="2">
        <v>3.52</v>
      </c>
      <c r="P215" s="4">
        <f t="shared" si="90"/>
        <v>1</v>
      </c>
    </row>
    <row r="216" spans="1:16" x14ac:dyDescent="0.25">
      <c r="A216" s="1" t="str">
        <f t="shared" si="91"/>
        <v>P148</v>
      </c>
      <c r="B216" s="1">
        <f t="shared" si="91"/>
        <v>148</v>
      </c>
      <c r="C216" s="1">
        <f t="shared" si="91"/>
        <v>408</v>
      </c>
      <c r="D216" s="1">
        <f t="shared" si="91"/>
        <v>7</v>
      </c>
      <c r="E216" s="1">
        <f t="shared" si="91"/>
        <v>13</v>
      </c>
      <c r="F216" s="2">
        <f t="shared" si="89"/>
        <v>4</v>
      </c>
      <c r="H216" s="9" t="s">
        <v>92</v>
      </c>
      <c r="I216" s="9" t="s">
        <v>70</v>
      </c>
      <c r="J216" s="9" t="s">
        <v>33</v>
      </c>
      <c r="K216" s="9">
        <v>27.18</v>
      </c>
      <c r="L216" s="2">
        <v>7</v>
      </c>
      <c r="M216" s="2">
        <v>13</v>
      </c>
      <c r="N216" s="2">
        <v>1.06</v>
      </c>
      <c r="P216" s="4">
        <f t="shared" si="90"/>
        <v>1</v>
      </c>
    </row>
    <row r="217" spans="1:16" x14ac:dyDescent="0.25">
      <c r="A217" s="1" t="str">
        <f t="shared" si="91"/>
        <v>P148</v>
      </c>
      <c r="B217" s="1">
        <f t="shared" si="91"/>
        <v>148</v>
      </c>
      <c r="C217" s="1">
        <f t="shared" si="91"/>
        <v>454</v>
      </c>
      <c r="D217" s="1">
        <f t="shared" si="91"/>
        <v>6</v>
      </c>
      <c r="E217" s="1">
        <f t="shared" si="91"/>
        <v>12</v>
      </c>
      <c r="F217" s="2">
        <f t="shared" si="89"/>
        <v>4</v>
      </c>
      <c r="H217" s="9" t="s">
        <v>92</v>
      </c>
      <c r="I217" s="9" t="s">
        <v>71</v>
      </c>
      <c r="J217" s="9" t="s">
        <v>33</v>
      </c>
      <c r="K217" s="9">
        <v>24.13</v>
      </c>
      <c r="L217" s="2">
        <v>6</v>
      </c>
      <c r="M217" s="2">
        <v>12</v>
      </c>
      <c r="N217" s="2">
        <v>0.91</v>
      </c>
      <c r="P217" s="4">
        <f t="shared" si="90"/>
        <v>1</v>
      </c>
    </row>
    <row r="218" spans="1:16" x14ac:dyDescent="0.25">
      <c r="A218" s="1" t="str">
        <f t="shared" si="91"/>
        <v>P148</v>
      </c>
      <c r="B218" s="1">
        <f t="shared" si="91"/>
        <v>148</v>
      </c>
      <c r="C218" s="1">
        <f t="shared" si="91"/>
        <v>459</v>
      </c>
      <c r="D218" s="1">
        <f t="shared" si="91"/>
        <v>6</v>
      </c>
      <c r="E218" s="1">
        <f t="shared" si="91"/>
        <v>12</v>
      </c>
      <c r="F218" s="2">
        <f t="shared" si="89"/>
        <v>4</v>
      </c>
      <c r="H218" s="9" t="s">
        <v>92</v>
      </c>
      <c r="I218" s="9" t="s">
        <v>72</v>
      </c>
      <c r="J218" s="9" t="s">
        <v>33</v>
      </c>
      <c r="K218" s="9">
        <v>24.16</v>
      </c>
      <c r="L218" s="2">
        <v>6</v>
      </c>
      <c r="M218" s="2">
        <v>12</v>
      </c>
      <c r="N218" s="2">
        <v>0.3</v>
      </c>
      <c r="P218" s="4">
        <f t="shared" si="90"/>
        <v>1</v>
      </c>
    </row>
    <row r="219" spans="1:16" x14ac:dyDescent="0.25">
      <c r="A219" s="1" t="str">
        <f t="shared" si="91"/>
        <v>P148</v>
      </c>
      <c r="B219" s="1">
        <f t="shared" si="91"/>
        <v>148</v>
      </c>
      <c r="C219" s="1">
        <f t="shared" si="91"/>
        <v>510</v>
      </c>
      <c r="D219" s="1">
        <f t="shared" si="91"/>
        <v>6</v>
      </c>
      <c r="E219" s="1">
        <f t="shared" si="91"/>
        <v>11</v>
      </c>
      <c r="F219" s="2">
        <f t="shared" si="89"/>
        <v>4</v>
      </c>
      <c r="H219" s="9" t="s">
        <v>92</v>
      </c>
      <c r="I219" s="9" t="s">
        <v>73</v>
      </c>
      <c r="J219" s="9" t="s">
        <v>33</v>
      </c>
      <c r="K219" s="9">
        <v>23.25</v>
      </c>
      <c r="L219" s="2">
        <v>6</v>
      </c>
      <c r="M219" s="2">
        <v>11</v>
      </c>
      <c r="N219" s="2">
        <v>0.03</v>
      </c>
      <c r="P219" s="4">
        <f t="shared" si="90"/>
        <v>1</v>
      </c>
    </row>
    <row r="220" spans="1:16" x14ac:dyDescent="0.25">
      <c r="A220" s="1" t="str">
        <f t="shared" si="91"/>
        <v>P205</v>
      </c>
      <c r="B220" s="1">
        <f t="shared" si="91"/>
        <v>205</v>
      </c>
      <c r="C220" s="1">
        <f t="shared" si="91"/>
        <v>1133</v>
      </c>
      <c r="D220" s="1">
        <f t="shared" si="91"/>
        <v>11</v>
      </c>
      <c r="E220" s="1">
        <f t="shared" si="91"/>
        <v>21</v>
      </c>
      <c r="F220" s="2">
        <f t="shared" si="89"/>
        <v>4</v>
      </c>
      <c r="H220" s="9" t="s">
        <v>92</v>
      </c>
      <c r="I220" s="9" t="s">
        <v>74</v>
      </c>
      <c r="J220" s="9" t="s">
        <v>33</v>
      </c>
      <c r="K220" s="9">
        <v>47.87</v>
      </c>
      <c r="L220" s="2">
        <v>12</v>
      </c>
      <c r="M220" s="2">
        <v>23</v>
      </c>
      <c r="N220" s="2">
        <v>300.02</v>
      </c>
      <c r="P220" s="4">
        <f t="shared" si="90"/>
        <v>0</v>
      </c>
    </row>
    <row r="221" spans="1:16" x14ac:dyDescent="0.25">
      <c r="A221" s="1" t="str">
        <f t="shared" ref="A221:E236" si="92">A162</f>
        <v>P205</v>
      </c>
      <c r="B221" s="1">
        <f t="shared" si="92"/>
        <v>205</v>
      </c>
      <c r="C221" s="1">
        <f t="shared" si="92"/>
        <v>1275</v>
      </c>
      <c r="D221" s="1">
        <f t="shared" si="92"/>
        <v>10</v>
      </c>
      <c r="E221" s="1">
        <f t="shared" si="92"/>
        <v>19</v>
      </c>
      <c r="F221" s="2">
        <f t="shared" si="89"/>
        <v>4</v>
      </c>
      <c r="H221" s="9" t="s">
        <v>92</v>
      </c>
      <c r="I221" s="9" t="s">
        <v>75</v>
      </c>
      <c r="J221" s="9" t="s">
        <v>33</v>
      </c>
      <c r="K221" s="9">
        <v>43.73</v>
      </c>
      <c r="L221" s="2">
        <v>11</v>
      </c>
      <c r="M221" s="2">
        <v>21</v>
      </c>
      <c r="N221" s="2">
        <v>300.02999999999997</v>
      </c>
      <c r="P221" s="4">
        <f t="shared" si="90"/>
        <v>0</v>
      </c>
    </row>
    <row r="222" spans="1:16" x14ac:dyDescent="0.25">
      <c r="A222" s="1" t="str">
        <f t="shared" si="92"/>
        <v>P205</v>
      </c>
      <c r="B222" s="1">
        <f t="shared" si="92"/>
        <v>205</v>
      </c>
      <c r="C222" s="1">
        <f t="shared" si="92"/>
        <v>1322</v>
      </c>
      <c r="D222" s="1">
        <f t="shared" si="92"/>
        <v>9</v>
      </c>
      <c r="E222" s="1">
        <f t="shared" si="92"/>
        <v>18</v>
      </c>
      <c r="F222" s="2">
        <f t="shared" si="89"/>
        <v>4</v>
      </c>
      <c r="H222" s="9" t="s">
        <v>92</v>
      </c>
      <c r="I222" s="9" t="s">
        <v>76</v>
      </c>
      <c r="J222" s="9" t="s">
        <v>33</v>
      </c>
      <c r="K222" s="9">
        <v>39.380000000000003</v>
      </c>
      <c r="L222" s="2">
        <v>10</v>
      </c>
      <c r="M222" s="2">
        <v>19</v>
      </c>
      <c r="N222" s="2">
        <v>300.01</v>
      </c>
      <c r="P222" s="4">
        <f t="shared" si="90"/>
        <v>0</v>
      </c>
    </row>
    <row r="223" spans="1:16" x14ac:dyDescent="0.25">
      <c r="A223" s="1" t="str">
        <f t="shared" si="92"/>
        <v>P205</v>
      </c>
      <c r="B223" s="1">
        <f t="shared" si="92"/>
        <v>205</v>
      </c>
      <c r="C223" s="1">
        <f t="shared" si="92"/>
        <v>1455</v>
      </c>
      <c r="D223" s="1">
        <f t="shared" si="92"/>
        <v>9</v>
      </c>
      <c r="E223" s="1">
        <f t="shared" si="92"/>
        <v>17</v>
      </c>
      <c r="F223" s="2">
        <f t="shared" si="89"/>
        <v>4</v>
      </c>
      <c r="H223" s="9" t="s">
        <v>92</v>
      </c>
      <c r="I223" s="9" t="s">
        <v>77</v>
      </c>
      <c r="J223" s="9" t="s">
        <v>33</v>
      </c>
      <c r="K223" s="9">
        <v>36.21</v>
      </c>
      <c r="L223" s="2">
        <v>9</v>
      </c>
      <c r="M223" s="2">
        <v>18</v>
      </c>
      <c r="N223" s="2">
        <v>300.02</v>
      </c>
      <c r="P223" s="4">
        <f t="shared" si="90"/>
        <v>0</v>
      </c>
    </row>
    <row r="224" spans="1:16" x14ac:dyDescent="0.25">
      <c r="A224" s="1" t="str">
        <f t="shared" si="92"/>
        <v>P205</v>
      </c>
      <c r="B224" s="1">
        <f t="shared" si="92"/>
        <v>205</v>
      </c>
      <c r="C224" s="1">
        <f t="shared" si="92"/>
        <v>1510</v>
      </c>
      <c r="D224" s="1">
        <f t="shared" si="92"/>
        <v>8</v>
      </c>
      <c r="E224" s="1">
        <f t="shared" si="92"/>
        <v>16</v>
      </c>
      <c r="F224" s="2">
        <f t="shared" si="89"/>
        <v>4</v>
      </c>
      <c r="H224" s="9" t="s">
        <v>92</v>
      </c>
      <c r="I224" s="9" t="s">
        <v>78</v>
      </c>
      <c r="J224" s="9" t="s">
        <v>33</v>
      </c>
      <c r="K224" s="9">
        <v>35.299999999999997</v>
      </c>
      <c r="L224" s="2">
        <v>9</v>
      </c>
      <c r="M224" s="2">
        <v>17</v>
      </c>
      <c r="N224" s="2">
        <v>300.02</v>
      </c>
      <c r="P224" s="4">
        <f t="shared" si="90"/>
        <v>0</v>
      </c>
    </row>
    <row r="225" spans="1:16" x14ac:dyDescent="0.25">
      <c r="A225" s="1" t="str">
        <f t="shared" si="92"/>
        <v>P205</v>
      </c>
      <c r="B225" s="1">
        <f t="shared" si="92"/>
        <v>205</v>
      </c>
      <c r="C225" s="1">
        <f t="shared" si="92"/>
        <v>1650</v>
      </c>
      <c r="D225" s="1">
        <f t="shared" si="92"/>
        <v>8</v>
      </c>
      <c r="E225" s="1">
        <f t="shared" si="92"/>
        <v>15</v>
      </c>
      <c r="F225" s="2">
        <f t="shared" si="89"/>
        <v>4</v>
      </c>
      <c r="H225" s="9" t="s">
        <v>92</v>
      </c>
      <c r="I225" s="9" t="s">
        <v>79</v>
      </c>
      <c r="J225" s="9" t="s">
        <v>33</v>
      </c>
      <c r="K225" s="9">
        <v>32.32</v>
      </c>
      <c r="L225" s="2">
        <v>8</v>
      </c>
      <c r="M225" s="2">
        <v>16</v>
      </c>
      <c r="N225" s="2">
        <v>300</v>
      </c>
      <c r="P225" s="4">
        <f t="shared" si="90"/>
        <v>0</v>
      </c>
    </row>
    <row r="226" spans="1:16" x14ac:dyDescent="0.25">
      <c r="A226" s="1" t="str">
        <f t="shared" si="92"/>
        <v>P205</v>
      </c>
      <c r="B226" s="1">
        <f t="shared" si="92"/>
        <v>205</v>
      </c>
      <c r="C226" s="1">
        <f t="shared" si="92"/>
        <v>1699</v>
      </c>
      <c r="D226" s="1">
        <f t="shared" si="92"/>
        <v>7</v>
      </c>
      <c r="E226" s="1">
        <f t="shared" si="92"/>
        <v>14</v>
      </c>
      <c r="F226" s="2">
        <f t="shared" si="89"/>
        <v>4</v>
      </c>
      <c r="H226" s="9" t="s">
        <v>92</v>
      </c>
      <c r="I226" s="9" t="s">
        <v>80</v>
      </c>
      <c r="J226" s="9" t="s">
        <v>33</v>
      </c>
      <c r="K226" s="9">
        <v>32.369999999999997</v>
      </c>
      <c r="L226" s="2">
        <v>8</v>
      </c>
      <c r="M226" s="2">
        <v>16</v>
      </c>
      <c r="N226" s="2">
        <v>300.06</v>
      </c>
      <c r="P226" s="4">
        <f t="shared" si="90"/>
        <v>0</v>
      </c>
    </row>
    <row r="227" spans="1:16" x14ac:dyDescent="0.25">
      <c r="A227" s="1" t="str">
        <f t="shared" si="92"/>
        <v>P205</v>
      </c>
      <c r="B227" s="1">
        <f t="shared" si="92"/>
        <v>205</v>
      </c>
      <c r="C227" s="1">
        <f t="shared" si="92"/>
        <v>1888</v>
      </c>
      <c r="D227" s="1">
        <f t="shared" si="92"/>
        <v>7</v>
      </c>
      <c r="E227" s="1">
        <f t="shared" si="92"/>
        <v>13</v>
      </c>
      <c r="F227" s="2">
        <f t="shared" si="89"/>
        <v>4</v>
      </c>
      <c r="H227" s="9" t="s">
        <v>92</v>
      </c>
      <c r="I227" s="9" t="s">
        <v>81</v>
      </c>
      <c r="J227" s="9" t="s">
        <v>33</v>
      </c>
      <c r="K227" s="9">
        <v>30.7</v>
      </c>
      <c r="L227" s="2">
        <v>8</v>
      </c>
      <c r="M227" s="2">
        <v>14</v>
      </c>
      <c r="N227" s="2">
        <v>300.01</v>
      </c>
      <c r="P227" s="4">
        <f t="shared" si="90"/>
        <v>0</v>
      </c>
    </row>
    <row r="228" spans="1:16" x14ac:dyDescent="0.25">
      <c r="A228" s="1" t="str">
        <f t="shared" si="92"/>
        <v>P205</v>
      </c>
      <c r="B228" s="1">
        <f t="shared" si="92"/>
        <v>205</v>
      </c>
      <c r="C228" s="1">
        <f t="shared" si="92"/>
        <v>1920</v>
      </c>
      <c r="D228" s="1">
        <f t="shared" si="92"/>
        <v>7</v>
      </c>
      <c r="E228" s="1">
        <f t="shared" si="92"/>
        <v>13</v>
      </c>
      <c r="F228" s="2">
        <f t="shared" si="89"/>
        <v>4</v>
      </c>
      <c r="H228" s="9" t="s">
        <v>92</v>
      </c>
      <c r="I228" s="9" t="s">
        <v>82</v>
      </c>
      <c r="J228" s="9" t="s">
        <v>33</v>
      </c>
      <c r="K228" s="9">
        <v>28.28</v>
      </c>
      <c r="L228" s="2">
        <v>7</v>
      </c>
      <c r="M228" s="2">
        <v>14</v>
      </c>
      <c r="N228" s="2">
        <v>300.02</v>
      </c>
      <c r="P228" s="4">
        <f t="shared" si="90"/>
        <v>0</v>
      </c>
    </row>
    <row r="229" spans="1:16" x14ac:dyDescent="0.25">
      <c r="A229" s="1" t="str">
        <f t="shared" si="92"/>
        <v>P205</v>
      </c>
      <c r="B229" s="1">
        <f t="shared" si="92"/>
        <v>205</v>
      </c>
      <c r="C229" s="1">
        <f t="shared" si="92"/>
        <v>2077</v>
      </c>
      <c r="D229" s="1">
        <f t="shared" si="92"/>
        <v>6</v>
      </c>
      <c r="E229" s="1">
        <f t="shared" si="92"/>
        <v>12</v>
      </c>
      <c r="F229" s="2">
        <f t="shared" si="89"/>
        <v>4</v>
      </c>
      <c r="H229" s="9" t="s">
        <v>92</v>
      </c>
      <c r="I229" s="9" t="s">
        <v>83</v>
      </c>
      <c r="J229" s="9" t="s">
        <v>33</v>
      </c>
      <c r="K229" s="9">
        <v>28.4</v>
      </c>
      <c r="L229" s="2">
        <v>7</v>
      </c>
      <c r="M229" s="2">
        <v>14</v>
      </c>
      <c r="N229" s="2">
        <v>300.04000000000002</v>
      </c>
      <c r="P229" s="4">
        <f t="shared" si="90"/>
        <v>0</v>
      </c>
    </row>
    <row r="230" spans="1:16" x14ac:dyDescent="0.25">
      <c r="A230" s="1" t="str">
        <f t="shared" si="92"/>
        <v>P205</v>
      </c>
      <c r="B230" s="1">
        <f t="shared" si="92"/>
        <v>205</v>
      </c>
      <c r="C230" s="1">
        <f t="shared" si="92"/>
        <v>2100</v>
      </c>
      <c r="D230" s="1">
        <f t="shared" si="92"/>
        <v>6</v>
      </c>
      <c r="E230" s="1">
        <f t="shared" si="92"/>
        <v>12</v>
      </c>
      <c r="F230" s="2">
        <f t="shared" si="89"/>
        <v>4</v>
      </c>
      <c r="H230" s="9" t="s">
        <v>92</v>
      </c>
      <c r="I230" s="9" t="s">
        <v>84</v>
      </c>
      <c r="J230" s="9" t="s">
        <v>33</v>
      </c>
      <c r="K230" s="9">
        <v>27.45</v>
      </c>
      <c r="L230" s="2">
        <v>7</v>
      </c>
      <c r="M230" s="2">
        <v>13</v>
      </c>
      <c r="N230" s="2">
        <v>300.05</v>
      </c>
      <c r="P230" s="4">
        <f t="shared" si="90"/>
        <v>0</v>
      </c>
    </row>
    <row r="231" spans="1:16" x14ac:dyDescent="0.25">
      <c r="A231" s="1" t="str">
        <f t="shared" si="92"/>
        <v>P205</v>
      </c>
      <c r="B231" s="1">
        <f t="shared" si="92"/>
        <v>205</v>
      </c>
      <c r="C231" s="1">
        <f t="shared" si="92"/>
        <v>2266</v>
      </c>
      <c r="D231" s="1">
        <f t="shared" si="92"/>
        <v>6</v>
      </c>
      <c r="E231" s="1">
        <f t="shared" si="92"/>
        <v>11</v>
      </c>
      <c r="F231" s="2">
        <f t="shared" si="89"/>
        <v>4</v>
      </c>
      <c r="H231" s="9" t="s">
        <v>92</v>
      </c>
      <c r="I231" s="9" t="s">
        <v>85</v>
      </c>
      <c r="J231" s="9" t="s">
        <v>33</v>
      </c>
      <c r="K231" s="9">
        <v>24.3</v>
      </c>
      <c r="L231" s="2">
        <v>6</v>
      </c>
      <c r="M231" s="2">
        <v>12</v>
      </c>
      <c r="N231" s="2">
        <v>300.04000000000002</v>
      </c>
      <c r="P231" s="4">
        <f t="shared" si="90"/>
        <v>0</v>
      </c>
    </row>
    <row r="232" spans="1:16" x14ac:dyDescent="0.25">
      <c r="A232" s="1" t="str">
        <f t="shared" si="92"/>
        <v>P205</v>
      </c>
      <c r="B232" s="1">
        <f t="shared" si="92"/>
        <v>205</v>
      </c>
      <c r="C232" s="1">
        <f t="shared" si="92"/>
        <v>2300</v>
      </c>
      <c r="D232" s="1">
        <f t="shared" si="92"/>
        <v>6</v>
      </c>
      <c r="E232" s="1">
        <f t="shared" si="92"/>
        <v>11</v>
      </c>
      <c r="F232" s="2">
        <f t="shared" si="89"/>
        <v>4</v>
      </c>
      <c r="H232" s="9" t="s">
        <v>92</v>
      </c>
      <c r="I232" s="9" t="s">
        <v>86</v>
      </c>
      <c r="J232" s="9" t="s">
        <v>33</v>
      </c>
      <c r="K232" s="9">
        <v>24.3</v>
      </c>
      <c r="L232" s="2">
        <v>6</v>
      </c>
      <c r="M232" s="2">
        <v>12</v>
      </c>
      <c r="N232" s="2">
        <v>300</v>
      </c>
      <c r="P232" s="4">
        <f t="shared" si="90"/>
        <v>0</v>
      </c>
    </row>
    <row r="233" spans="1:16" x14ac:dyDescent="0.25">
      <c r="A233" s="1" t="str">
        <f t="shared" si="92"/>
        <v>P205</v>
      </c>
      <c r="B233" s="1">
        <f t="shared" si="92"/>
        <v>205</v>
      </c>
      <c r="C233" s="1">
        <f t="shared" si="92"/>
        <v>2454</v>
      </c>
      <c r="D233" s="1">
        <f t="shared" si="92"/>
        <v>5</v>
      </c>
      <c r="E233" s="1">
        <f t="shared" si="92"/>
        <v>10</v>
      </c>
      <c r="F233" s="2">
        <f t="shared" si="89"/>
        <v>4</v>
      </c>
      <c r="H233" s="9" t="s">
        <v>92</v>
      </c>
      <c r="I233" s="9" t="s">
        <v>87</v>
      </c>
      <c r="J233" s="9" t="s">
        <v>33</v>
      </c>
      <c r="K233" s="9">
        <v>24.39</v>
      </c>
      <c r="L233" s="2">
        <v>6</v>
      </c>
      <c r="M233" s="2">
        <v>12</v>
      </c>
      <c r="N233" s="2">
        <v>300.02</v>
      </c>
      <c r="P233" s="4">
        <f t="shared" si="90"/>
        <v>0</v>
      </c>
    </row>
    <row r="234" spans="1:16" x14ac:dyDescent="0.25">
      <c r="A234" s="1" t="str">
        <f t="shared" si="92"/>
        <v>P205</v>
      </c>
      <c r="B234" s="1">
        <f t="shared" si="92"/>
        <v>205</v>
      </c>
      <c r="C234" s="1">
        <f t="shared" si="92"/>
        <v>2500</v>
      </c>
      <c r="D234" s="1">
        <f t="shared" si="92"/>
        <v>5</v>
      </c>
      <c r="E234" s="1">
        <f t="shared" si="92"/>
        <v>10</v>
      </c>
      <c r="F234" s="2">
        <f t="shared" si="89"/>
        <v>4</v>
      </c>
      <c r="H234" s="9" t="s">
        <v>92</v>
      </c>
      <c r="I234" s="9" t="s">
        <v>88</v>
      </c>
      <c r="J234" s="9" t="s">
        <v>33</v>
      </c>
      <c r="K234" s="9">
        <v>23.79</v>
      </c>
      <c r="L234" s="2">
        <v>6</v>
      </c>
      <c r="M234" s="2">
        <v>11</v>
      </c>
      <c r="N234" s="2">
        <v>300.04000000000002</v>
      </c>
      <c r="P234" s="4">
        <f t="shared" si="90"/>
        <v>0</v>
      </c>
    </row>
    <row r="235" spans="1:16" x14ac:dyDescent="0.25">
      <c r="A235" s="1" t="str">
        <f t="shared" si="92"/>
        <v>P205</v>
      </c>
      <c r="B235" s="1">
        <f t="shared" si="92"/>
        <v>205</v>
      </c>
      <c r="C235" s="1">
        <f t="shared" si="92"/>
        <v>2643</v>
      </c>
      <c r="D235" s="1">
        <f t="shared" si="92"/>
        <v>5</v>
      </c>
      <c r="E235" s="1">
        <f t="shared" si="92"/>
        <v>9</v>
      </c>
      <c r="F235" s="2">
        <f t="shared" si="89"/>
        <v>4</v>
      </c>
      <c r="H235" s="9" t="s">
        <v>92</v>
      </c>
      <c r="I235" s="9" t="s">
        <v>89</v>
      </c>
      <c r="J235" s="9" t="s">
        <v>33</v>
      </c>
      <c r="K235" s="9">
        <v>23.5</v>
      </c>
      <c r="L235" s="2">
        <v>6</v>
      </c>
      <c r="M235" s="2">
        <v>11</v>
      </c>
      <c r="N235" s="2">
        <v>300.02999999999997</v>
      </c>
      <c r="P235" s="4">
        <f t="shared" si="90"/>
        <v>0</v>
      </c>
    </row>
    <row r="236" spans="1:16" x14ac:dyDescent="0.25">
      <c r="A236" s="1" t="str">
        <f t="shared" si="92"/>
        <v>P205</v>
      </c>
      <c r="B236" s="1">
        <f t="shared" si="92"/>
        <v>205</v>
      </c>
      <c r="C236" s="1">
        <f t="shared" si="92"/>
        <v>2800</v>
      </c>
      <c r="D236" s="1">
        <f t="shared" si="92"/>
        <v>5</v>
      </c>
      <c r="E236" s="1">
        <f t="shared" si="92"/>
        <v>9</v>
      </c>
      <c r="F236" s="2">
        <f t="shared" si="89"/>
        <v>4</v>
      </c>
      <c r="H236" s="9" t="s">
        <v>92</v>
      </c>
      <c r="I236" s="9" t="s">
        <v>90</v>
      </c>
      <c r="J236" s="9" t="s">
        <v>33</v>
      </c>
      <c r="K236" s="9">
        <v>20.350000000000001</v>
      </c>
      <c r="L236" s="2">
        <v>5</v>
      </c>
      <c r="M236" s="2">
        <v>10</v>
      </c>
      <c r="N236" s="2">
        <v>300.04000000000002</v>
      </c>
      <c r="P236" s="4">
        <f t="shared" si="90"/>
        <v>0</v>
      </c>
    </row>
    <row r="237" spans="1:16" x14ac:dyDescent="0.25">
      <c r="A237" s="1" t="str">
        <f t="shared" ref="A237:E252" si="93">A178</f>
        <v>P205</v>
      </c>
      <c r="B237" s="1">
        <f t="shared" si="93"/>
        <v>205</v>
      </c>
      <c r="C237" s="1">
        <f t="shared" si="93"/>
        <v>2832</v>
      </c>
      <c r="D237" s="1">
        <f t="shared" si="93"/>
        <v>5</v>
      </c>
      <c r="E237" s="1">
        <f t="shared" si="93"/>
        <v>9</v>
      </c>
      <c r="F237" s="2">
        <f t="shared" si="89"/>
        <v>4</v>
      </c>
      <c r="H237" s="9" t="s">
        <v>92</v>
      </c>
      <c r="I237" s="9" t="s">
        <v>91</v>
      </c>
      <c r="J237" s="9" t="s">
        <v>33</v>
      </c>
      <c r="K237" s="9">
        <v>20.329999999999998</v>
      </c>
      <c r="L237" s="2">
        <v>5</v>
      </c>
      <c r="M237" s="2">
        <v>10</v>
      </c>
      <c r="N237" s="2">
        <v>300.04000000000002</v>
      </c>
      <c r="P237" s="4">
        <f t="shared" si="90"/>
        <v>0</v>
      </c>
    </row>
    <row r="238" spans="1:16" x14ac:dyDescent="0.25">
      <c r="A238" s="1" t="str">
        <f t="shared" si="93"/>
        <v>P9</v>
      </c>
      <c r="B238" s="1">
        <f t="shared" si="93"/>
        <v>9</v>
      </c>
      <c r="C238" s="1">
        <f t="shared" si="93"/>
        <v>3</v>
      </c>
      <c r="D238" s="1">
        <f t="shared" si="93"/>
        <v>3</v>
      </c>
      <c r="E238" s="1">
        <f t="shared" si="93"/>
        <v>6</v>
      </c>
      <c r="F238" s="2">
        <f t="shared" si="89"/>
        <v>5</v>
      </c>
      <c r="H238" s="9" t="s">
        <v>92</v>
      </c>
      <c r="I238" s="9" t="s">
        <v>32</v>
      </c>
      <c r="J238" s="9" t="s">
        <v>33</v>
      </c>
      <c r="K238" s="9">
        <v>12.17</v>
      </c>
      <c r="L238" s="2">
        <v>3</v>
      </c>
      <c r="M238" s="2">
        <v>6</v>
      </c>
      <c r="N238" s="2">
        <v>0</v>
      </c>
      <c r="P238" s="4">
        <f t="shared" si="90"/>
        <v>1</v>
      </c>
    </row>
    <row r="239" spans="1:16" x14ac:dyDescent="0.25">
      <c r="A239" s="1" t="str">
        <f t="shared" si="93"/>
        <v>P9</v>
      </c>
      <c r="B239" s="1">
        <f t="shared" si="93"/>
        <v>9</v>
      </c>
      <c r="C239" s="1">
        <f t="shared" si="93"/>
        <v>4</v>
      </c>
      <c r="D239" s="1">
        <f t="shared" si="93"/>
        <v>3</v>
      </c>
      <c r="E239" s="1">
        <f t="shared" si="93"/>
        <v>5</v>
      </c>
      <c r="F239" s="2">
        <f t="shared" si="89"/>
        <v>5</v>
      </c>
      <c r="H239" s="9" t="s">
        <v>92</v>
      </c>
      <c r="I239" s="9" t="s">
        <v>34</v>
      </c>
      <c r="J239" s="9" t="s">
        <v>33</v>
      </c>
      <c r="K239" s="9">
        <v>11.42</v>
      </c>
      <c r="L239" s="2">
        <v>3</v>
      </c>
      <c r="M239" s="2">
        <v>5</v>
      </c>
      <c r="N239" s="2">
        <v>0</v>
      </c>
      <c r="P239" s="4">
        <f t="shared" si="90"/>
        <v>1</v>
      </c>
    </row>
    <row r="240" spans="1:16" x14ac:dyDescent="0.25">
      <c r="A240" s="1" t="str">
        <f t="shared" si="93"/>
        <v>P9</v>
      </c>
      <c r="B240" s="1">
        <f t="shared" si="93"/>
        <v>9</v>
      </c>
      <c r="C240" s="1">
        <f t="shared" si="93"/>
        <v>5</v>
      </c>
      <c r="D240" s="1">
        <f t="shared" si="93"/>
        <v>2</v>
      </c>
      <c r="E240" s="1">
        <f t="shared" si="93"/>
        <v>4</v>
      </c>
      <c r="F240" s="2">
        <f t="shared" si="89"/>
        <v>5</v>
      </c>
      <c r="H240" s="9" t="s">
        <v>92</v>
      </c>
      <c r="I240" s="9" t="s">
        <v>35</v>
      </c>
      <c r="J240" s="9" t="s">
        <v>33</v>
      </c>
      <c r="K240" s="9">
        <v>8.15</v>
      </c>
      <c r="L240" s="2">
        <v>2</v>
      </c>
      <c r="M240" s="2">
        <v>4</v>
      </c>
      <c r="N240" s="2">
        <v>0</v>
      </c>
      <c r="P240" s="4">
        <f t="shared" si="90"/>
        <v>1</v>
      </c>
    </row>
    <row r="241" spans="1:16" x14ac:dyDescent="0.25">
      <c r="A241" s="1" t="str">
        <f t="shared" si="93"/>
        <v>P9</v>
      </c>
      <c r="B241" s="1">
        <f t="shared" si="93"/>
        <v>9</v>
      </c>
      <c r="C241" s="1">
        <f t="shared" si="93"/>
        <v>6</v>
      </c>
      <c r="D241" s="1">
        <f t="shared" si="93"/>
        <v>2</v>
      </c>
      <c r="E241" s="1">
        <f t="shared" si="93"/>
        <v>3</v>
      </c>
      <c r="F241" s="2">
        <f t="shared" si="89"/>
        <v>5</v>
      </c>
      <c r="H241" s="9" t="s">
        <v>92</v>
      </c>
      <c r="I241" s="9" t="s">
        <v>36</v>
      </c>
      <c r="J241" s="9" t="s">
        <v>33</v>
      </c>
      <c r="K241" s="9">
        <v>7.29</v>
      </c>
      <c r="L241" s="2">
        <v>2</v>
      </c>
      <c r="M241" s="2">
        <v>3</v>
      </c>
      <c r="N241" s="2">
        <v>0</v>
      </c>
      <c r="P241" s="4">
        <f t="shared" si="90"/>
        <v>1</v>
      </c>
    </row>
    <row r="242" spans="1:16" x14ac:dyDescent="0.25">
      <c r="A242" s="1" t="str">
        <f t="shared" si="93"/>
        <v>P9</v>
      </c>
      <c r="B242" s="1">
        <f t="shared" si="93"/>
        <v>9</v>
      </c>
      <c r="C242" s="1">
        <f t="shared" si="93"/>
        <v>7</v>
      </c>
      <c r="D242" s="1">
        <f t="shared" si="93"/>
        <v>2</v>
      </c>
      <c r="E242" s="1">
        <f t="shared" si="93"/>
        <v>3</v>
      </c>
      <c r="F242" s="2">
        <f t="shared" si="89"/>
        <v>5</v>
      </c>
      <c r="H242" s="9" t="s">
        <v>92</v>
      </c>
      <c r="I242" s="9" t="s">
        <v>37</v>
      </c>
      <c r="J242" s="9" t="s">
        <v>33</v>
      </c>
      <c r="K242" s="9">
        <v>7.39</v>
      </c>
      <c r="L242" s="2">
        <v>2</v>
      </c>
      <c r="M242" s="2">
        <v>3</v>
      </c>
      <c r="N242" s="2">
        <v>0</v>
      </c>
      <c r="P242" s="4">
        <f t="shared" si="90"/>
        <v>1</v>
      </c>
    </row>
    <row r="243" spans="1:16" x14ac:dyDescent="0.25">
      <c r="A243" s="1" t="str">
        <f t="shared" si="93"/>
        <v>P12</v>
      </c>
      <c r="B243" s="1">
        <f t="shared" si="93"/>
        <v>12</v>
      </c>
      <c r="C243" s="1">
        <f t="shared" si="93"/>
        <v>4</v>
      </c>
      <c r="D243" s="1">
        <f t="shared" si="93"/>
        <v>4</v>
      </c>
      <c r="E243" s="1">
        <f t="shared" si="93"/>
        <v>7</v>
      </c>
      <c r="F243" s="2">
        <f t="shared" si="89"/>
        <v>5</v>
      </c>
      <c r="H243" s="9" t="s">
        <v>92</v>
      </c>
      <c r="I243" s="9" t="s">
        <v>38</v>
      </c>
      <c r="J243" s="9" t="s">
        <v>33</v>
      </c>
      <c r="K243" s="9">
        <v>15.31</v>
      </c>
      <c r="L243" s="2">
        <v>4</v>
      </c>
      <c r="M243" s="2">
        <v>7</v>
      </c>
      <c r="N243" s="2">
        <v>0</v>
      </c>
      <c r="P243" s="4">
        <f t="shared" si="90"/>
        <v>1</v>
      </c>
    </row>
    <row r="244" spans="1:16" x14ac:dyDescent="0.25">
      <c r="A244" s="1" t="str">
        <f t="shared" si="93"/>
        <v>P12</v>
      </c>
      <c r="B244" s="1">
        <f t="shared" si="93"/>
        <v>12</v>
      </c>
      <c r="C244" s="1">
        <f t="shared" si="93"/>
        <v>5</v>
      </c>
      <c r="D244" s="1">
        <f t="shared" si="93"/>
        <v>3</v>
      </c>
      <c r="E244" s="1">
        <f t="shared" si="93"/>
        <v>6</v>
      </c>
      <c r="F244" s="2">
        <f t="shared" si="89"/>
        <v>5</v>
      </c>
      <c r="H244" s="9" t="s">
        <v>92</v>
      </c>
      <c r="I244" s="9" t="s">
        <v>39</v>
      </c>
      <c r="J244" s="9" t="s">
        <v>33</v>
      </c>
      <c r="K244" s="9">
        <v>12.23</v>
      </c>
      <c r="L244" s="2">
        <v>3</v>
      </c>
      <c r="M244" s="2">
        <v>6</v>
      </c>
      <c r="N244" s="2">
        <v>300</v>
      </c>
      <c r="P244" s="4">
        <f t="shared" si="90"/>
        <v>1</v>
      </c>
    </row>
    <row r="245" spans="1:16" x14ac:dyDescent="0.25">
      <c r="A245" s="1" t="str">
        <f t="shared" si="93"/>
        <v>P12</v>
      </c>
      <c r="B245" s="1">
        <f t="shared" si="93"/>
        <v>12</v>
      </c>
      <c r="C245" s="1">
        <f t="shared" si="93"/>
        <v>6</v>
      </c>
      <c r="D245" s="1">
        <f t="shared" si="93"/>
        <v>3</v>
      </c>
      <c r="E245" s="1">
        <f t="shared" si="93"/>
        <v>5</v>
      </c>
      <c r="F245" s="2">
        <f t="shared" si="89"/>
        <v>5</v>
      </c>
      <c r="H245" s="9" t="s">
        <v>92</v>
      </c>
      <c r="I245" s="9" t="s">
        <v>40</v>
      </c>
      <c r="J245" s="9" t="s">
        <v>33</v>
      </c>
      <c r="K245" s="9">
        <v>11.33</v>
      </c>
      <c r="L245" s="2">
        <v>3</v>
      </c>
      <c r="M245" s="2">
        <v>5</v>
      </c>
      <c r="N245" s="2">
        <v>0</v>
      </c>
      <c r="P245" s="4">
        <f t="shared" si="90"/>
        <v>1</v>
      </c>
    </row>
    <row r="246" spans="1:16" x14ac:dyDescent="0.25">
      <c r="A246" s="1" t="str">
        <f t="shared" si="93"/>
        <v>P12</v>
      </c>
      <c r="B246" s="1">
        <f t="shared" si="93"/>
        <v>12</v>
      </c>
      <c r="C246" s="1">
        <f t="shared" si="93"/>
        <v>7</v>
      </c>
      <c r="D246" s="1">
        <f t="shared" si="93"/>
        <v>2</v>
      </c>
      <c r="E246" s="1">
        <f t="shared" si="93"/>
        <v>4</v>
      </c>
      <c r="F246" s="2">
        <f t="shared" si="89"/>
        <v>5</v>
      </c>
      <c r="H246" s="9" t="s">
        <v>92</v>
      </c>
      <c r="I246" s="9" t="s">
        <v>41</v>
      </c>
      <c r="J246" s="9" t="s">
        <v>33</v>
      </c>
      <c r="K246" s="9">
        <v>8.11</v>
      </c>
      <c r="L246" s="2">
        <v>2</v>
      </c>
      <c r="M246" s="2">
        <v>4</v>
      </c>
      <c r="N246" s="2">
        <v>0.01</v>
      </c>
      <c r="P246" s="4">
        <f t="shared" si="90"/>
        <v>1</v>
      </c>
    </row>
    <row r="247" spans="1:16" x14ac:dyDescent="0.25">
      <c r="A247" s="1" t="str">
        <f t="shared" si="93"/>
        <v>P12</v>
      </c>
      <c r="B247" s="1">
        <f t="shared" si="93"/>
        <v>12</v>
      </c>
      <c r="C247" s="1">
        <f t="shared" si="93"/>
        <v>8</v>
      </c>
      <c r="D247" s="1">
        <f t="shared" si="93"/>
        <v>2</v>
      </c>
      <c r="E247" s="1">
        <f t="shared" si="93"/>
        <v>4</v>
      </c>
      <c r="F247" s="2">
        <f t="shared" si="89"/>
        <v>5</v>
      </c>
      <c r="H247" s="9" t="s">
        <v>92</v>
      </c>
      <c r="I247" s="9" t="s">
        <v>42</v>
      </c>
      <c r="J247" s="9" t="s">
        <v>33</v>
      </c>
      <c r="K247" s="9">
        <v>8.2200000000000006</v>
      </c>
      <c r="L247" s="2">
        <v>2</v>
      </c>
      <c r="M247" s="2">
        <v>4</v>
      </c>
      <c r="N247" s="2">
        <v>0</v>
      </c>
      <c r="P247" s="4">
        <f t="shared" si="90"/>
        <v>1</v>
      </c>
    </row>
    <row r="248" spans="1:16" x14ac:dyDescent="0.25">
      <c r="A248" s="1" t="str">
        <f t="shared" si="93"/>
        <v>P12</v>
      </c>
      <c r="B248" s="1">
        <f t="shared" si="93"/>
        <v>12</v>
      </c>
      <c r="C248" s="1">
        <f t="shared" si="93"/>
        <v>9</v>
      </c>
      <c r="D248" s="1">
        <f t="shared" si="93"/>
        <v>2</v>
      </c>
      <c r="E248" s="1">
        <f t="shared" si="93"/>
        <v>3</v>
      </c>
      <c r="F248" s="2">
        <f t="shared" si="89"/>
        <v>5</v>
      </c>
      <c r="H248" s="9" t="s">
        <v>92</v>
      </c>
      <c r="I248" s="9" t="s">
        <v>43</v>
      </c>
      <c r="J248" s="9" t="s">
        <v>33</v>
      </c>
      <c r="K248" s="9">
        <v>7.31</v>
      </c>
      <c r="L248" s="2">
        <v>2</v>
      </c>
      <c r="M248" s="2">
        <v>3</v>
      </c>
      <c r="N248" s="2">
        <v>0</v>
      </c>
      <c r="P248" s="4">
        <f t="shared" si="90"/>
        <v>1</v>
      </c>
    </row>
    <row r="249" spans="1:16" x14ac:dyDescent="0.25">
      <c r="A249" s="1" t="str">
        <f t="shared" si="93"/>
        <v>P16</v>
      </c>
      <c r="B249" s="1">
        <f t="shared" si="93"/>
        <v>16</v>
      </c>
      <c r="C249" s="1">
        <f t="shared" si="93"/>
        <v>15</v>
      </c>
      <c r="D249" s="1">
        <f t="shared" si="93"/>
        <v>4</v>
      </c>
      <c r="E249" s="1">
        <f t="shared" si="93"/>
        <v>6</v>
      </c>
      <c r="F249" s="2">
        <f t="shared" si="89"/>
        <v>5</v>
      </c>
      <c r="H249" s="9" t="s">
        <v>92</v>
      </c>
      <c r="I249" s="9" t="s">
        <v>44</v>
      </c>
      <c r="J249" s="9" t="s">
        <v>33</v>
      </c>
      <c r="K249" s="9">
        <v>14.68</v>
      </c>
      <c r="L249" s="2">
        <v>4</v>
      </c>
      <c r="M249" s="2">
        <v>6</v>
      </c>
      <c r="N249" s="2">
        <v>300</v>
      </c>
      <c r="P249" s="4">
        <f t="shared" si="90"/>
        <v>1</v>
      </c>
    </row>
    <row r="250" spans="1:16" x14ac:dyDescent="0.25">
      <c r="A250" s="1" t="str">
        <f t="shared" si="93"/>
        <v>P16</v>
      </c>
      <c r="B250" s="1">
        <f t="shared" si="93"/>
        <v>16</v>
      </c>
      <c r="C250" s="1">
        <f t="shared" si="93"/>
        <v>16</v>
      </c>
      <c r="D250" s="1">
        <f t="shared" si="93"/>
        <v>3</v>
      </c>
      <c r="E250" s="1">
        <f t="shared" si="93"/>
        <v>6</v>
      </c>
      <c r="F250" s="2">
        <f t="shared" si="89"/>
        <v>5</v>
      </c>
      <c r="H250" s="9" t="s">
        <v>92</v>
      </c>
      <c r="I250" s="9" t="s">
        <v>45</v>
      </c>
      <c r="J250" s="9" t="s">
        <v>33</v>
      </c>
      <c r="K250" s="9">
        <v>12.29</v>
      </c>
      <c r="L250" s="2">
        <v>3</v>
      </c>
      <c r="M250" s="2">
        <v>6</v>
      </c>
      <c r="N250" s="2">
        <v>0</v>
      </c>
      <c r="P250" s="4">
        <f t="shared" si="90"/>
        <v>1</v>
      </c>
    </row>
    <row r="251" spans="1:16" x14ac:dyDescent="0.25">
      <c r="A251" s="1" t="str">
        <f t="shared" si="93"/>
        <v>P16</v>
      </c>
      <c r="B251" s="1">
        <f t="shared" si="93"/>
        <v>16</v>
      </c>
      <c r="C251" s="1">
        <f t="shared" si="93"/>
        <v>18</v>
      </c>
      <c r="D251" s="1">
        <f t="shared" si="93"/>
        <v>3</v>
      </c>
      <c r="E251" s="1">
        <f t="shared" si="93"/>
        <v>6</v>
      </c>
      <c r="F251" s="2">
        <f t="shared" si="89"/>
        <v>5</v>
      </c>
      <c r="H251" s="9" t="s">
        <v>92</v>
      </c>
      <c r="I251" s="9" t="s">
        <v>46</v>
      </c>
      <c r="J251" s="9" t="s">
        <v>33</v>
      </c>
      <c r="K251" s="9">
        <v>12.41</v>
      </c>
      <c r="L251" s="2">
        <v>3</v>
      </c>
      <c r="M251" s="2">
        <v>6</v>
      </c>
      <c r="N251" s="2">
        <v>300</v>
      </c>
      <c r="P251" s="4">
        <f t="shared" si="90"/>
        <v>1</v>
      </c>
    </row>
    <row r="252" spans="1:16" x14ac:dyDescent="0.25">
      <c r="A252" s="1" t="str">
        <f t="shared" si="93"/>
        <v>P16</v>
      </c>
      <c r="B252" s="1">
        <f t="shared" si="93"/>
        <v>16</v>
      </c>
      <c r="C252" s="1">
        <f t="shared" si="93"/>
        <v>19</v>
      </c>
      <c r="D252" s="1">
        <f t="shared" si="93"/>
        <v>3</v>
      </c>
      <c r="E252" s="1">
        <f t="shared" si="93"/>
        <v>5</v>
      </c>
      <c r="F252" s="2">
        <f t="shared" si="89"/>
        <v>5</v>
      </c>
      <c r="H252" s="9" t="s">
        <v>92</v>
      </c>
      <c r="I252" s="9" t="s">
        <v>47</v>
      </c>
      <c r="J252" s="9" t="s">
        <v>33</v>
      </c>
      <c r="K252" s="9">
        <v>12.49</v>
      </c>
      <c r="L252" s="2">
        <v>3</v>
      </c>
      <c r="M252" s="2">
        <v>6</v>
      </c>
      <c r="N252" s="2">
        <v>300</v>
      </c>
      <c r="P252" s="4">
        <f t="shared" si="90"/>
        <v>0</v>
      </c>
    </row>
    <row r="253" spans="1:16" x14ac:dyDescent="0.25">
      <c r="A253" s="1" t="str">
        <f t="shared" ref="A253:E268" si="94">A194</f>
        <v>P16</v>
      </c>
      <c r="B253" s="1">
        <f t="shared" si="94"/>
        <v>16</v>
      </c>
      <c r="C253" s="1">
        <f t="shared" si="94"/>
        <v>20</v>
      </c>
      <c r="D253" s="1">
        <f t="shared" si="94"/>
        <v>3</v>
      </c>
      <c r="E253" s="1">
        <f t="shared" si="94"/>
        <v>5</v>
      </c>
      <c r="F253" s="2">
        <f t="shared" si="89"/>
        <v>5</v>
      </c>
      <c r="H253" s="9" t="s">
        <v>92</v>
      </c>
      <c r="I253" s="9" t="s">
        <v>48</v>
      </c>
      <c r="J253" s="9" t="s">
        <v>33</v>
      </c>
      <c r="K253" s="9">
        <v>12.57</v>
      </c>
      <c r="L253" s="2">
        <v>3</v>
      </c>
      <c r="M253" s="2">
        <v>6</v>
      </c>
      <c r="N253" s="2">
        <v>300</v>
      </c>
      <c r="P253" s="4">
        <f t="shared" si="90"/>
        <v>0</v>
      </c>
    </row>
    <row r="254" spans="1:16" x14ac:dyDescent="0.25">
      <c r="A254" s="1" t="str">
        <f t="shared" si="94"/>
        <v>P16</v>
      </c>
      <c r="B254" s="1">
        <f t="shared" si="94"/>
        <v>16</v>
      </c>
      <c r="C254" s="1">
        <f t="shared" si="94"/>
        <v>21</v>
      </c>
      <c r="D254" s="1">
        <f t="shared" si="94"/>
        <v>3</v>
      </c>
      <c r="E254" s="1">
        <f t="shared" si="94"/>
        <v>5</v>
      </c>
      <c r="F254" s="2">
        <f t="shared" ref="F254:F317" si="95">F195+1</f>
        <v>5</v>
      </c>
      <c r="H254" s="9" t="s">
        <v>92</v>
      </c>
      <c r="I254" s="9" t="s">
        <v>49</v>
      </c>
      <c r="J254" s="9" t="s">
        <v>33</v>
      </c>
      <c r="K254" s="9">
        <v>11.57</v>
      </c>
      <c r="L254" s="2">
        <v>3</v>
      </c>
      <c r="M254" s="2">
        <v>5</v>
      </c>
      <c r="N254" s="2">
        <v>300</v>
      </c>
      <c r="P254" s="4">
        <f t="shared" si="90"/>
        <v>1</v>
      </c>
    </row>
    <row r="255" spans="1:16" x14ac:dyDescent="0.25">
      <c r="A255" s="1" t="str">
        <f t="shared" si="94"/>
        <v>P16</v>
      </c>
      <c r="B255" s="1">
        <f t="shared" si="94"/>
        <v>16</v>
      </c>
      <c r="C255" s="1">
        <f t="shared" si="94"/>
        <v>22</v>
      </c>
      <c r="D255" s="1">
        <f t="shared" si="94"/>
        <v>2</v>
      </c>
      <c r="E255" s="1">
        <f t="shared" si="94"/>
        <v>4</v>
      </c>
      <c r="F255" s="2">
        <f t="shared" si="95"/>
        <v>5</v>
      </c>
      <c r="H255" s="9" t="s">
        <v>92</v>
      </c>
      <c r="I255" s="9" t="s">
        <v>50</v>
      </c>
      <c r="J255" s="9" t="s">
        <v>33</v>
      </c>
      <c r="K255" s="9">
        <v>8.1</v>
      </c>
      <c r="L255" s="2">
        <v>2</v>
      </c>
      <c r="M255" s="2">
        <v>4</v>
      </c>
      <c r="N255" s="2">
        <v>0</v>
      </c>
      <c r="P255" s="4">
        <f t="shared" si="90"/>
        <v>1</v>
      </c>
    </row>
    <row r="256" spans="1:16" x14ac:dyDescent="0.25">
      <c r="A256" s="1" t="str">
        <f t="shared" si="94"/>
        <v>P24</v>
      </c>
      <c r="B256" s="1">
        <f t="shared" si="94"/>
        <v>24</v>
      </c>
      <c r="C256" s="1">
        <f t="shared" si="94"/>
        <v>18</v>
      </c>
      <c r="D256" s="1">
        <f t="shared" si="94"/>
        <v>4</v>
      </c>
      <c r="E256" s="1">
        <f t="shared" si="94"/>
        <v>8</v>
      </c>
      <c r="F256" s="2">
        <f t="shared" si="95"/>
        <v>5</v>
      </c>
      <c r="H256" s="9" t="s">
        <v>92</v>
      </c>
      <c r="I256" s="9" t="s">
        <v>51</v>
      </c>
      <c r="J256" s="9" t="s">
        <v>33</v>
      </c>
      <c r="K256" s="9">
        <v>16.07</v>
      </c>
      <c r="L256" s="2">
        <v>4</v>
      </c>
      <c r="M256" s="2">
        <v>8</v>
      </c>
      <c r="N256" s="2">
        <v>0.01</v>
      </c>
      <c r="P256" s="4">
        <f t="shared" si="90"/>
        <v>1</v>
      </c>
    </row>
    <row r="257" spans="1:16" x14ac:dyDescent="0.25">
      <c r="A257" s="1" t="str">
        <f t="shared" si="94"/>
        <v>P24</v>
      </c>
      <c r="B257" s="1">
        <f t="shared" si="94"/>
        <v>24</v>
      </c>
      <c r="C257" s="1">
        <f t="shared" si="94"/>
        <v>20</v>
      </c>
      <c r="D257" s="1">
        <f t="shared" si="94"/>
        <v>4</v>
      </c>
      <c r="E257" s="1">
        <f t="shared" si="94"/>
        <v>7</v>
      </c>
      <c r="F257" s="2">
        <f t="shared" si="95"/>
        <v>5</v>
      </c>
      <c r="H257" s="9" t="s">
        <v>92</v>
      </c>
      <c r="I257" s="9" t="s">
        <v>52</v>
      </c>
      <c r="J257" s="9" t="s">
        <v>33</v>
      </c>
      <c r="K257" s="9">
        <v>16.16</v>
      </c>
      <c r="L257" s="2">
        <v>4</v>
      </c>
      <c r="M257" s="2">
        <v>8</v>
      </c>
      <c r="N257" s="2">
        <v>300</v>
      </c>
      <c r="P257" s="4">
        <f t="shared" si="90"/>
        <v>0</v>
      </c>
    </row>
    <row r="258" spans="1:16" x14ac:dyDescent="0.25">
      <c r="A258" s="1" t="str">
        <f t="shared" si="94"/>
        <v>P24</v>
      </c>
      <c r="B258" s="1">
        <f t="shared" si="94"/>
        <v>24</v>
      </c>
      <c r="C258" s="1">
        <f t="shared" si="94"/>
        <v>24</v>
      </c>
      <c r="D258" s="1">
        <f t="shared" si="94"/>
        <v>3</v>
      </c>
      <c r="E258" s="1">
        <f t="shared" si="94"/>
        <v>6</v>
      </c>
      <c r="F258" s="2">
        <f t="shared" si="95"/>
        <v>5</v>
      </c>
      <c r="H258" s="9" t="s">
        <v>92</v>
      </c>
      <c r="I258" s="9" t="s">
        <v>53</v>
      </c>
      <c r="J258" s="9" t="s">
        <v>33</v>
      </c>
      <c r="K258" s="9">
        <v>12.03</v>
      </c>
      <c r="L258" s="2">
        <v>3</v>
      </c>
      <c r="M258" s="2">
        <v>6</v>
      </c>
      <c r="N258" s="2">
        <v>0.01</v>
      </c>
      <c r="P258" s="4">
        <f t="shared" si="90"/>
        <v>1</v>
      </c>
    </row>
    <row r="259" spans="1:16" x14ac:dyDescent="0.25">
      <c r="A259" s="1" t="str">
        <f t="shared" si="94"/>
        <v>P24</v>
      </c>
      <c r="B259" s="1">
        <f t="shared" si="94"/>
        <v>24</v>
      </c>
      <c r="C259" s="1">
        <f t="shared" si="94"/>
        <v>25</v>
      </c>
      <c r="D259" s="1">
        <f t="shared" si="94"/>
        <v>3</v>
      </c>
      <c r="E259" s="1">
        <f t="shared" si="94"/>
        <v>6</v>
      </c>
      <c r="F259" s="2">
        <f t="shared" si="95"/>
        <v>5</v>
      </c>
      <c r="H259" s="9" t="s">
        <v>92</v>
      </c>
      <c r="I259" s="9" t="s">
        <v>54</v>
      </c>
      <c r="J259" s="9" t="s">
        <v>33</v>
      </c>
      <c r="K259" s="9">
        <v>12.07</v>
      </c>
      <c r="L259" s="2">
        <v>3</v>
      </c>
      <c r="M259" s="2">
        <v>6</v>
      </c>
      <c r="N259" s="2">
        <v>0</v>
      </c>
      <c r="P259" s="4">
        <f t="shared" ref="P259:P322" si="96">IF(D259*100+E259=L259*100+M259,1,0)</f>
        <v>1</v>
      </c>
    </row>
    <row r="260" spans="1:16" x14ac:dyDescent="0.25">
      <c r="A260" s="1" t="str">
        <f t="shared" si="94"/>
        <v>P24</v>
      </c>
      <c r="B260" s="1">
        <f t="shared" si="94"/>
        <v>24</v>
      </c>
      <c r="C260" s="1">
        <f t="shared" si="94"/>
        <v>30</v>
      </c>
      <c r="D260" s="1">
        <f t="shared" si="94"/>
        <v>3</v>
      </c>
      <c r="E260" s="1">
        <f t="shared" si="94"/>
        <v>5</v>
      </c>
      <c r="F260" s="2">
        <f t="shared" si="95"/>
        <v>5</v>
      </c>
      <c r="H260" s="9" t="s">
        <v>92</v>
      </c>
      <c r="I260" s="9" t="s">
        <v>55</v>
      </c>
      <c r="J260" s="9" t="s">
        <v>33</v>
      </c>
      <c r="K260" s="9">
        <v>11.24</v>
      </c>
      <c r="L260" s="2">
        <v>3</v>
      </c>
      <c r="M260" s="2">
        <v>5</v>
      </c>
      <c r="N260" s="2">
        <v>0</v>
      </c>
      <c r="P260" s="4">
        <f t="shared" si="96"/>
        <v>1</v>
      </c>
    </row>
    <row r="261" spans="1:16" x14ac:dyDescent="0.25">
      <c r="A261" s="1" t="str">
        <f t="shared" si="94"/>
        <v>P24</v>
      </c>
      <c r="B261" s="1">
        <f t="shared" si="94"/>
        <v>24</v>
      </c>
      <c r="C261" s="1">
        <f t="shared" si="94"/>
        <v>35</v>
      </c>
      <c r="D261" s="1">
        <f t="shared" si="94"/>
        <v>2</v>
      </c>
      <c r="E261" s="1">
        <f t="shared" si="94"/>
        <v>4</v>
      </c>
      <c r="F261" s="2">
        <f t="shared" si="95"/>
        <v>5</v>
      </c>
      <c r="H261" s="9" t="s">
        <v>92</v>
      </c>
      <c r="I261" s="9" t="s">
        <v>56</v>
      </c>
      <c r="J261" s="9" t="s">
        <v>33</v>
      </c>
      <c r="K261" s="9">
        <v>8</v>
      </c>
      <c r="L261" s="2">
        <v>2</v>
      </c>
      <c r="M261" s="2">
        <v>4</v>
      </c>
      <c r="N261" s="2">
        <v>0.01</v>
      </c>
      <c r="P261" s="4">
        <f t="shared" si="96"/>
        <v>1</v>
      </c>
    </row>
    <row r="262" spans="1:16" x14ac:dyDescent="0.25">
      <c r="A262" s="1" t="str">
        <f t="shared" si="94"/>
        <v>P24</v>
      </c>
      <c r="B262" s="1">
        <f t="shared" si="94"/>
        <v>24</v>
      </c>
      <c r="C262" s="1">
        <f t="shared" si="94"/>
        <v>40</v>
      </c>
      <c r="D262" s="1">
        <f t="shared" si="94"/>
        <v>2</v>
      </c>
      <c r="E262" s="1">
        <f t="shared" si="94"/>
        <v>4</v>
      </c>
      <c r="F262" s="2">
        <f t="shared" si="95"/>
        <v>5</v>
      </c>
      <c r="H262" s="9" t="s">
        <v>92</v>
      </c>
      <c r="I262" s="9" t="s">
        <v>57</v>
      </c>
      <c r="J262" s="9" t="s">
        <v>33</v>
      </c>
      <c r="K262" s="9">
        <v>8.1199999999999992</v>
      </c>
      <c r="L262" s="2">
        <v>2</v>
      </c>
      <c r="M262" s="2">
        <v>4</v>
      </c>
      <c r="N262" s="2">
        <v>0.01</v>
      </c>
      <c r="P262" s="4">
        <f t="shared" si="96"/>
        <v>1</v>
      </c>
    </row>
    <row r="263" spans="1:16" x14ac:dyDescent="0.25">
      <c r="A263" s="1" t="str">
        <f t="shared" si="94"/>
        <v>P65</v>
      </c>
      <c r="B263" s="1">
        <f t="shared" si="94"/>
        <v>65</v>
      </c>
      <c r="C263" s="1">
        <f t="shared" si="94"/>
        <v>326</v>
      </c>
      <c r="D263" s="1">
        <f t="shared" si="94"/>
        <v>8</v>
      </c>
      <c r="E263" s="1">
        <f t="shared" si="94"/>
        <v>16</v>
      </c>
      <c r="F263" s="2">
        <f t="shared" si="95"/>
        <v>5</v>
      </c>
      <c r="H263" s="9" t="s">
        <v>92</v>
      </c>
      <c r="I263" s="9" t="s">
        <v>58</v>
      </c>
      <c r="J263" s="9" t="s">
        <v>33</v>
      </c>
      <c r="K263" s="9">
        <v>35.21</v>
      </c>
      <c r="L263" s="2">
        <v>9</v>
      </c>
      <c r="M263" s="2">
        <v>17</v>
      </c>
      <c r="N263" s="2">
        <v>300.01</v>
      </c>
      <c r="P263" s="4">
        <f t="shared" si="96"/>
        <v>0</v>
      </c>
    </row>
    <row r="264" spans="1:16" x14ac:dyDescent="0.25">
      <c r="A264" s="1" t="str">
        <f t="shared" si="94"/>
        <v>P65</v>
      </c>
      <c r="B264" s="1">
        <f t="shared" si="94"/>
        <v>65</v>
      </c>
      <c r="C264" s="1">
        <f t="shared" si="94"/>
        <v>381</v>
      </c>
      <c r="D264" s="1">
        <f t="shared" si="94"/>
        <v>7</v>
      </c>
      <c r="E264" s="1">
        <f t="shared" si="94"/>
        <v>14</v>
      </c>
      <c r="F264" s="2">
        <f t="shared" si="95"/>
        <v>5</v>
      </c>
      <c r="H264" s="9" t="s">
        <v>92</v>
      </c>
      <c r="I264" s="9" t="s">
        <v>59</v>
      </c>
      <c r="J264" s="9" t="s">
        <v>33</v>
      </c>
      <c r="K264" s="9">
        <v>28.19</v>
      </c>
      <c r="L264" s="2">
        <v>7</v>
      </c>
      <c r="M264" s="2">
        <v>14</v>
      </c>
      <c r="N264" s="2">
        <v>0.06</v>
      </c>
      <c r="P264" s="4">
        <f t="shared" si="96"/>
        <v>1</v>
      </c>
    </row>
    <row r="265" spans="1:16" x14ac:dyDescent="0.25">
      <c r="A265" s="1" t="str">
        <f t="shared" si="94"/>
        <v>P65</v>
      </c>
      <c r="B265" s="1">
        <f t="shared" si="94"/>
        <v>65</v>
      </c>
      <c r="C265" s="1">
        <f t="shared" si="94"/>
        <v>435</v>
      </c>
      <c r="D265" s="1">
        <f t="shared" si="94"/>
        <v>6</v>
      </c>
      <c r="E265" s="1">
        <f t="shared" si="94"/>
        <v>12</v>
      </c>
      <c r="F265" s="2">
        <f t="shared" si="95"/>
        <v>5</v>
      </c>
      <c r="H265" s="9" t="s">
        <v>92</v>
      </c>
      <c r="I265" s="9" t="s">
        <v>60</v>
      </c>
      <c r="J265" s="9" t="s">
        <v>33</v>
      </c>
      <c r="K265" s="9">
        <v>24.07</v>
      </c>
      <c r="L265" s="2">
        <v>6</v>
      </c>
      <c r="M265" s="2">
        <v>12</v>
      </c>
      <c r="N265" s="2">
        <v>7.0000000000000007E-2</v>
      </c>
      <c r="P265" s="4">
        <f t="shared" si="96"/>
        <v>1</v>
      </c>
    </row>
    <row r="266" spans="1:16" x14ac:dyDescent="0.25">
      <c r="A266" s="1" t="str">
        <f t="shared" si="94"/>
        <v>P65</v>
      </c>
      <c r="B266" s="1">
        <f t="shared" si="94"/>
        <v>65</v>
      </c>
      <c r="C266" s="1">
        <f t="shared" si="94"/>
        <v>490</v>
      </c>
      <c r="D266" s="1">
        <f t="shared" si="94"/>
        <v>6</v>
      </c>
      <c r="E266" s="1">
        <f t="shared" si="94"/>
        <v>11</v>
      </c>
      <c r="F266" s="2">
        <f t="shared" si="95"/>
        <v>5</v>
      </c>
      <c r="H266" s="9" t="s">
        <v>92</v>
      </c>
      <c r="I266" s="9" t="s">
        <v>61</v>
      </c>
      <c r="J266" s="9" t="s">
        <v>33</v>
      </c>
      <c r="K266" s="9">
        <v>23.23</v>
      </c>
      <c r="L266" s="2">
        <v>6</v>
      </c>
      <c r="M266" s="2">
        <v>11</v>
      </c>
      <c r="N266" s="2">
        <v>0.01</v>
      </c>
      <c r="P266" s="4">
        <f t="shared" si="96"/>
        <v>1</v>
      </c>
    </row>
    <row r="267" spans="1:16" x14ac:dyDescent="0.25">
      <c r="A267" s="1" t="str">
        <f t="shared" si="94"/>
        <v>P65</v>
      </c>
      <c r="B267" s="1">
        <f t="shared" si="94"/>
        <v>65</v>
      </c>
      <c r="C267" s="1">
        <f t="shared" si="94"/>
        <v>512</v>
      </c>
      <c r="D267" s="1">
        <f t="shared" si="94"/>
        <v>5</v>
      </c>
      <c r="E267" s="1">
        <f t="shared" si="94"/>
        <v>10</v>
      </c>
      <c r="F267" s="2">
        <f t="shared" si="95"/>
        <v>5</v>
      </c>
      <c r="H267" s="9" t="s">
        <v>92</v>
      </c>
      <c r="I267" s="9" t="s">
        <v>62</v>
      </c>
      <c r="J267" s="9" t="s">
        <v>33</v>
      </c>
      <c r="K267" s="9">
        <v>20.010000000000002</v>
      </c>
      <c r="L267" s="2">
        <v>5</v>
      </c>
      <c r="M267" s="2">
        <v>10</v>
      </c>
      <c r="N267" s="2">
        <v>94.81</v>
      </c>
      <c r="P267" s="4">
        <f t="shared" si="96"/>
        <v>1</v>
      </c>
    </row>
    <row r="268" spans="1:16" x14ac:dyDescent="0.25">
      <c r="A268" s="1" t="str">
        <f t="shared" si="94"/>
        <v>P65</v>
      </c>
      <c r="B268" s="1">
        <f t="shared" si="94"/>
        <v>65</v>
      </c>
      <c r="C268" s="1">
        <f t="shared" si="94"/>
        <v>544</v>
      </c>
      <c r="D268" s="1">
        <f t="shared" si="94"/>
        <v>5</v>
      </c>
      <c r="E268" s="1">
        <f t="shared" si="94"/>
        <v>10</v>
      </c>
      <c r="F268" s="2">
        <f t="shared" si="95"/>
        <v>5</v>
      </c>
      <c r="H268" s="9" t="s">
        <v>92</v>
      </c>
      <c r="I268" s="9" t="s">
        <v>63</v>
      </c>
      <c r="J268" s="9" t="s">
        <v>33</v>
      </c>
      <c r="K268" s="9">
        <v>20.12</v>
      </c>
      <c r="L268" s="2">
        <v>5</v>
      </c>
      <c r="M268" s="2">
        <v>10</v>
      </c>
      <c r="N268" s="2">
        <v>0.01</v>
      </c>
      <c r="P268" s="4">
        <f t="shared" si="96"/>
        <v>1</v>
      </c>
    </row>
    <row r="269" spans="1:16" x14ac:dyDescent="0.25">
      <c r="A269" s="1" t="str">
        <f t="shared" ref="A269:E284" si="97">A210</f>
        <v>P148</v>
      </c>
      <c r="B269" s="1">
        <f t="shared" si="97"/>
        <v>148</v>
      </c>
      <c r="C269" s="1">
        <f t="shared" si="97"/>
        <v>204</v>
      </c>
      <c r="D269" s="1">
        <f t="shared" si="97"/>
        <v>13</v>
      </c>
      <c r="E269" s="1">
        <f t="shared" si="97"/>
        <v>26</v>
      </c>
      <c r="F269" s="2">
        <f t="shared" si="95"/>
        <v>5</v>
      </c>
      <c r="H269" s="9" t="s">
        <v>92</v>
      </c>
      <c r="I269" s="9" t="s">
        <v>64</v>
      </c>
      <c r="J269" s="9" t="s">
        <v>33</v>
      </c>
      <c r="K269" s="9">
        <v>52.15</v>
      </c>
      <c r="L269" s="2">
        <v>13</v>
      </c>
      <c r="M269" s="2">
        <v>26</v>
      </c>
      <c r="N269" s="2">
        <v>0.16</v>
      </c>
      <c r="P269" s="4">
        <f t="shared" si="96"/>
        <v>1</v>
      </c>
    </row>
    <row r="270" spans="1:16" x14ac:dyDescent="0.25">
      <c r="A270" s="1" t="str">
        <f t="shared" si="97"/>
        <v>P148</v>
      </c>
      <c r="B270" s="1">
        <f t="shared" si="97"/>
        <v>148</v>
      </c>
      <c r="C270" s="1">
        <f t="shared" si="97"/>
        <v>228</v>
      </c>
      <c r="D270" s="1">
        <f t="shared" si="97"/>
        <v>12</v>
      </c>
      <c r="E270" s="1">
        <f t="shared" si="97"/>
        <v>23</v>
      </c>
      <c r="F270" s="2">
        <f t="shared" si="95"/>
        <v>5</v>
      </c>
      <c r="H270" s="9" t="s">
        <v>92</v>
      </c>
      <c r="I270" s="9" t="s">
        <v>65</v>
      </c>
      <c r="J270" s="9" t="s">
        <v>33</v>
      </c>
      <c r="K270" s="9">
        <v>47.19</v>
      </c>
      <c r="L270" s="2">
        <v>12</v>
      </c>
      <c r="M270" s="2">
        <v>23</v>
      </c>
      <c r="N270" s="2">
        <v>0.12</v>
      </c>
      <c r="P270" s="4">
        <f t="shared" si="96"/>
        <v>1</v>
      </c>
    </row>
    <row r="271" spans="1:16" x14ac:dyDescent="0.25">
      <c r="A271" s="1" t="str">
        <f t="shared" si="97"/>
        <v>P148</v>
      </c>
      <c r="B271" s="1">
        <f t="shared" si="97"/>
        <v>148</v>
      </c>
      <c r="C271" s="1">
        <f t="shared" si="97"/>
        <v>255</v>
      </c>
      <c r="D271" s="1">
        <f t="shared" si="97"/>
        <v>11</v>
      </c>
      <c r="E271" s="1">
        <f t="shared" si="97"/>
        <v>21</v>
      </c>
      <c r="F271" s="2">
        <f t="shared" si="95"/>
        <v>5</v>
      </c>
      <c r="H271" s="9" t="s">
        <v>92</v>
      </c>
      <c r="I271" s="9" t="s">
        <v>66</v>
      </c>
      <c r="J271" s="9" t="s">
        <v>33</v>
      </c>
      <c r="K271" s="9">
        <v>43.24</v>
      </c>
      <c r="L271" s="2">
        <v>11</v>
      </c>
      <c r="M271" s="2">
        <v>21</v>
      </c>
      <c r="N271" s="2">
        <v>0.08</v>
      </c>
      <c r="P271" s="4">
        <f t="shared" si="96"/>
        <v>1</v>
      </c>
    </row>
    <row r="272" spans="1:16" x14ac:dyDescent="0.25">
      <c r="A272" s="1" t="str">
        <f t="shared" si="97"/>
        <v>P148</v>
      </c>
      <c r="B272" s="1">
        <f t="shared" si="97"/>
        <v>148</v>
      </c>
      <c r="C272" s="1">
        <f t="shared" si="97"/>
        <v>306</v>
      </c>
      <c r="D272" s="1">
        <f t="shared" si="97"/>
        <v>9</v>
      </c>
      <c r="E272" s="1">
        <f t="shared" si="97"/>
        <v>17</v>
      </c>
      <c r="F272" s="2">
        <f t="shared" si="95"/>
        <v>5</v>
      </c>
      <c r="H272" s="9" t="s">
        <v>92</v>
      </c>
      <c r="I272" s="9" t="s">
        <v>67</v>
      </c>
      <c r="J272" s="9" t="s">
        <v>33</v>
      </c>
      <c r="K272" s="9">
        <v>35.130000000000003</v>
      </c>
      <c r="L272" s="2">
        <v>9</v>
      </c>
      <c r="M272" s="2">
        <v>17</v>
      </c>
      <c r="N272" s="2">
        <v>10.99</v>
      </c>
      <c r="P272" s="4">
        <f t="shared" si="96"/>
        <v>1</v>
      </c>
    </row>
    <row r="273" spans="1:16" x14ac:dyDescent="0.25">
      <c r="A273" s="1" t="str">
        <f t="shared" si="97"/>
        <v>P148</v>
      </c>
      <c r="B273" s="1">
        <f t="shared" si="97"/>
        <v>148</v>
      </c>
      <c r="C273" s="1">
        <f t="shared" si="97"/>
        <v>357</v>
      </c>
      <c r="D273" s="1">
        <f t="shared" si="97"/>
        <v>8</v>
      </c>
      <c r="E273" s="1">
        <f t="shared" si="97"/>
        <v>15</v>
      </c>
      <c r="F273" s="2">
        <f t="shared" si="95"/>
        <v>5</v>
      </c>
      <c r="H273" s="9" t="s">
        <v>92</v>
      </c>
      <c r="I273" s="9" t="s">
        <v>68</v>
      </c>
      <c r="J273" s="9" t="s">
        <v>33</v>
      </c>
      <c r="K273" s="9">
        <v>31.2</v>
      </c>
      <c r="L273" s="2">
        <v>8</v>
      </c>
      <c r="M273" s="2">
        <v>15</v>
      </c>
      <c r="N273" s="2">
        <v>0.04</v>
      </c>
      <c r="P273" s="4">
        <f t="shared" si="96"/>
        <v>1</v>
      </c>
    </row>
    <row r="274" spans="1:16" x14ac:dyDescent="0.25">
      <c r="A274" s="1" t="str">
        <f t="shared" si="97"/>
        <v>P148</v>
      </c>
      <c r="B274" s="1">
        <f t="shared" si="97"/>
        <v>148</v>
      </c>
      <c r="C274" s="1">
        <f t="shared" si="97"/>
        <v>378</v>
      </c>
      <c r="D274" s="1">
        <f t="shared" si="97"/>
        <v>7</v>
      </c>
      <c r="E274" s="1">
        <f t="shared" si="97"/>
        <v>14</v>
      </c>
      <c r="F274" s="2">
        <f t="shared" si="95"/>
        <v>5</v>
      </c>
      <c r="H274" s="9" t="s">
        <v>92</v>
      </c>
      <c r="I274" s="9" t="s">
        <v>69</v>
      </c>
      <c r="J274" s="9" t="s">
        <v>33</v>
      </c>
      <c r="K274" s="9">
        <v>28.07</v>
      </c>
      <c r="L274" s="2">
        <v>7</v>
      </c>
      <c r="M274" s="2">
        <v>14</v>
      </c>
      <c r="N274" s="2">
        <v>0.15</v>
      </c>
      <c r="P274" s="4">
        <f t="shared" si="96"/>
        <v>1</v>
      </c>
    </row>
    <row r="275" spans="1:16" x14ac:dyDescent="0.25">
      <c r="A275" s="1" t="str">
        <f t="shared" si="97"/>
        <v>P148</v>
      </c>
      <c r="B275" s="1">
        <f t="shared" si="97"/>
        <v>148</v>
      </c>
      <c r="C275" s="1">
        <f t="shared" si="97"/>
        <v>408</v>
      </c>
      <c r="D275" s="1">
        <f t="shared" si="97"/>
        <v>7</v>
      </c>
      <c r="E275" s="1">
        <f t="shared" si="97"/>
        <v>13</v>
      </c>
      <c r="F275" s="2">
        <f t="shared" si="95"/>
        <v>5</v>
      </c>
      <c r="H275" s="9" t="s">
        <v>92</v>
      </c>
      <c r="I275" s="9" t="s">
        <v>70</v>
      </c>
      <c r="J275" s="9" t="s">
        <v>33</v>
      </c>
      <c r="K275" s="9">
        <v>27.16</v>
      </c>
      <c r="L275" s="2">
        <v>7</v>
      </c>
      <c r="M275" s="2">
        <v>13</v>
      </c>
      <c r="N275" s="2">
        <v>7.0000000000000007E-2</v>
      </c>
      <c r="P275" s="4">
        <f t="shared" si="96"/>
        <v>1</v>
      </c>
    </row>
    <row r="276" spans="1:16" x14ac:dyDescent="0.25">
      <c r="A276" s="1" t="str">
        <f t="shared" si="97"/>
        <v>P148</v>
      </c>
      <c r="B276" s="1">
        <f t="shared" si="97"/>
        <v>148</v>
      </c>
      <c r="C276" s="1">
        <f t="shared" si="97"/>
        <v>454</v>
      </c>
      <c r="D276" s="1">
        <f t="shared" si="97"/>
        <v>6</v>
      </c>
      <c r="E276" s="1">
        <f t="shared" si="97"/>
        <v>12</v>
      </c>
      <c r="F276" s="2">
        <f t="shared" si="95"/>
        <v>5</v>
      </c>
      <c r="H276" s="9" t="s">
        <v>92</v>
      </c>
      <c r="I276" s="9" t="s">
        <v>71</v>
      </c>
      <c r="J276" s="9" t="s">
        <v>33</v>
      </c>
      <c r="K276" s="9">
        <v>24.1</v>
      </c>
      <c r="L276" s="2">
        <v>6</v>
      </c>
      <c r="M276" s="2">
        <v>12</v>
      </c>
      <c r="N276" s="2">
        <v>49.3</v>
      </c>
      <c r="P276" s="4">
        <f t="shared" si="96"/>
        <v>1</v>
      </c>
    </row>
    <row r="277" spans="1:16" x14ac:dyDescent="0.25">
      <c r="A277" s="1" t="str">
        <f t="shared" si="97"/>
        <v>P148</v>
      </c>
      <c r="B277" s="1">
        <f t="shared" si="97"/>
        <v>148</v>
      </c>
      <c r="C277" s="1">
        <f t="shared" si="97"/>
        <v>459</v>
      </c>
      <c r="D277" s="1">
        <f t="shared" si="97"/>
        <v>6</v>
      </c>
      <c r="E277" s="1">
        <f t="shared" si="97"/>
        <v>12</v>
      </c>
      <c r="F277" s="2">
        <f t="shared" si="95"/>
        <v>5</v>
      </c>
      <c r="H277" s="9" t="s">
        <v>92</v>
      </c>
      <c r="I277" s="9" t="s">
        <v>72</v>
      </c>
      <c r="J277" s="9" t="s">
        <v>33</v>
      </c>
      <c r="K277" s="9">
        <v>24.1</v>
      </c>
      <c r="L277" s="2">
        <v>6</v>
      </c>
      <c r="M277" s="2">
        <v>12</v>
      </c>
      <c r="N277" s="2">
        <v>1.95</v>
      </c>
      <c r="P277" s="4">
        <f t="shared" si="96"/>
        <v>1</v>
      </c>
    </row>
    <row r="278" spans="1:16" x14ac:dyDescent="0.25">
      <c r="A278" s="1" t="str">
        <f t="shared" si="97"/>
        <v>P148</v>
      </c>
      <c r="B278" s="1">
        <f t="shared" si="97"/>
        <v>148</v>
      </c>
      <c r="C278" s="1">
        <f t="shared" si="97"/>
        <v>510</v>
      </c>
      <c r="D278" s="1">
        <f t="shared" si="97"/>
        <v>6</v>
      </c>
      <c r="E278" s="1">
        <f t="shared" si="97"/>
        <v>11</v>
      </c>
      <c r="F278" s="2">
        <f t="shared" si="95"/>
        <v>5</v>
      </c>
      <c r="H278" s="9" t="s">
        <v>92</v>
      </c>
      <c r="I278" s="9" t="s">
        <v>73</v>
      </c>
      <c r="J278" s="9" t="s">
        <v>33</v>
      </c>
      <c r="K278" s="9">
        <v>23.23</v>
      </c>
      <c r="L278" s="2">
        <v>6</v>
      </c>
      <c r="M278" s="2">
        <v>11</v>
      </c>
      <c r="N278" s="2">
        <v>0.04</v>
      </c>
      <c r="P278" s="4">
        <f t="shared" si="96"/>
        <v>1</v>
      </c>
    </row>
    <row r="279" spans="1:16" x14ac:dyDescent="0.25">
      <c r="A279" s="1" t="str">
        <f t="shared" si="97"/>
        <v>P205</v>
      </c>
      <c r="B279" s="1">
        <f t="shared" si="97"/>
        <v>205</v>
      </c>
      <c r="C279" s="1">
        <f t="shared" si="97"/>
        <v>1133</v>
      </c>
      <c r="D279" s="1">
        <f t="shared" si="97"/>
        <v>11</v>
      </c>
      <c r="E279" s="1">
        <f t="shared" si="97"/>
        <v>21</v>
      </c>
      <c r="F279" s="2">
        <f t="shared" si="95"/>
        <v>5</v>
      </c>
      <c r="H279" s="9" t="s">
        <v>92</v>
      </c>
      <c r="I279" s="9" t="s">
        <v>74</v>
      </c>
      <c r="J279" s="9" t="s">
        <v>33</v>
      </c>
      <c r="K279" s="9">
        <v>46.5</v>
      </c>
      <c r="L279" s="2">
        <v>12</v>
      </c>
      <c r="M279" s="2">
        <v>22</v>
      </c>
      <c r="N279" s="2">
        <v>300.02999999999997</v>
      </c>
      <c r="P279" s="4">
        <f t="shared" si="96"/>
        <v>0</v>
      </c>
    </row>
    <row r="280" spans="1:16" x14ac:dyDescent="0.25">
      <c r="A280" s="1" t="str">
        <f t="shared" si="97"/>
        <v>P205</v>
      </c>
      <c r="B280" s="1">
        <f t="shared" si="97"/>
        <v>205</v>
      </c>
      <c r="C280" s="1">
        <f t="shared" si="97"/>
        <v>1275</v>
      </c>
      <c r="D280" s="1">
        <f t="shared" si="97"/>
        <v>10</v>
      </c>
      <c r="E280" s="1">
        <f t="shared" si="97"/>
        <v>19</v>
      </c>
      <c r="F280" s="2">
        <f t="shared" si="95"/>
        <v>5</v>
      </c>
      <c r="H280" s="9" t="s">
        <v>92</v>
      </c>
      <c r="I280" s="9" t="s">
        <v>75</v>
      </c>
      <c r="J280" s="9" t="s">
        <v>33</v>
      </c>
      <c r="K280" s="9">
        <v>40.31</v>
      </c>
      <c r="L280" s="2">
        <v>10</v>
      </c>
      <c r="M280" s="2">
        <v>20</v>
      </c>
      <c r="N280" s="2">
        <v>300.02999999999997</v>
      </c>
      <c r="P280" s="4">
        <f t="shared" si="96"/>
        <v>0</v>
      </c>
    </row>
    <row r="281" spans="1:16" x14ac:dyDescent="0.25">
      <c r="A281" s="1" t="str">
        <f t="shared" si="97"/>
        <v>P205</v>
      </c>
      <c r="B281" s="1">
        <f t="shared" si="97"/>
        <v>205</v>
      </c>
      <c r="C281" s="1">
        <f t="shared" si="97"/>
        <v>1322</v>
      </c>
      <c r="D281" s="1">
        <f t="shared" si="97"/>
        <v>9</v>
      </c>
      <c r="E281" s="1">
        <f t="shared" si="97"/>
        <v>18</v>
      </c>
      <c r="F281" s="2">
        <f t="shared" si="95"/>
        <v>5</v>
      </c>
      <c r="H281" s="9" t="s">
        <v>92</v>
      </c>
      <c r="I281" s="9" t="s">
        <v>76</v>
      </c>
      <c r="J281" s="9" t="s">
        <v>33</v>
      </c>
      <c r="K281" s="9">
        <v>40.340000000000003</v>
      </c>
      <c r="L281" s="2">
        <v>10</v>
      </c>
      <c r="M281" s="2">
        <v>20</v>
      </c>
      <c r="N281" s="2">
        <v>300.01</v>
      </c>
      <c r="P281" s="4">
        <f t="shared" si="96"/>
        <v>0</v>
      </c>
    </row>
    <row r="282" spans="1:16" x14ac:dyDescent="0.25">
      <c r="A282" s="1" t="str">
        <f t="shared" si="97"/>
        <v>P205</v>
      </c>
      <c r="B282" s="1">
        <f t="shared" si="97"/>
        <v>205</v>
      </c>
      <c r="C282" s="1">
        <f t="shared" si="97"/>
        <v>1455</v>
      </c>
      <c r="D282" s="1">
        <f t="shared" si="97"/>
        <v>9</v>
      </c>
      <c r="E282" s="1">
        <f t="shared" si="97"/>
        <v>17</v>
      </c>
      <c r="F282" s="2">
        <f t="shared" si="95"/>
        <v>5</v>
      </c>
      <c r="H282" s="9" t="s">
        <v>92</v>
      </c>
      <c r="I282" s="9" t="s">
        <v>77</v>
      </c>
      <c r="J282" s="9" t="s">
        <v>33</v>
      </c>
      <c r="K282" s="9">
        <v>36.32</v>
      </c>
      <c r="L282" s="2">
        <v>9</v>
      </c>
      <c r="M282" s="2">
        <v>18</v>
      </c>
      <c r="N282" s="2">
        <v>300.02</v>
      </c>
      <c r="P282" s="4">
        <f t="shared" si="96"/>
        <v>0</v>
      </c>
    </row>
    <row r="283" spans="1:16" x14ac:dyDescent="0.25">
      <c r="A283" s="1" t="str">
        <f t="shared" si="97"/>
        <v>P205</v>
      </c>
      <c r="B283" s="1">
        <f t="shared" si="97"/>
        <v>205</v>
      </c>
      <c r="C283" s="1">
        <f t="shared" si="97"/>
        <v>1510</v>
      </c>
      <c r="D283" s="1">
        <f t="shared" si="97"/>
        <v>8</v>
      </c>
      <c r="E283" s="1">
        <f t="shared" si="97"/>
        <v>16</v>
      </c>
      <c r="F283" s="2">
        <f t="shared" si="95"/>
        <v>5</v>
      </c>
      <c r="H283" s="9" t="s">
        <v>92</v>
      </c>
      <c r="I283" s="9" t="s">
        <v>78</v>
      </c>
      <c r="J283" s="9" t="s">
        <v>33</v>
      </c>
      <c r="K283" s="9">
        <v>35.380000000000003</v>
      </c>
      <c r="L283" s="2">
        <v>9</v>
      </c>
      <c r="M283" s="2">
        <v>17</v>
      </c>
      <c r="N283" s="2">
        <v>300</v>
      </c>
      <c r="P283" s="4">
        <f t="shared" si="96"/>
        <v>0</v>
      </c>
    </row>
    <row r="284" spans="1:16" x14ac:dyDescent="0.25">
      <c r="A284" s="1" t="str">
        <f t="shared" si="97"/>
        <v>P205</v>
      </c>
      <c r="B284" s="1">
        <f t="shared" si="97"/>
        <v>205</v>
      </c>
      <c r="C284" s="1">
        <f t="shared" si="97"/>
        <v>1650</v>
      </c>
      <c r="D284" s="1">
        <f t="shared" si="97"/>
        <v>8</v>
      </c>
      <c r="E284" s="1">
        <f t="shared" si="97"/>
        <v>15</v>
      </c>
      <c r="F284" s="2">
        <f t="shared" si="95"/>
        <v>5</v>
      </c>
      <c r="H284" s="9" t="s">
        <v>92</v>
      </c>
      <c r="I284" s="9" t="s">
        <v>79</v>
      </c>
      <c r="J284" s="9" t="s">
        <v>33</v>
      </c>
      <c r="K284" s="9">
        <v>32.31</v>
      </c>
      <c r="L284" s="2">
        <v>8</v>
      </c>
      <c r="M284" s="2">
        <v>16</v>
      </c>
      <c r="N284" s="2">
        <v>300.02</v>
      </c>
      <c r="P284" s="4">
        <f t="shared" si="96"/>
        <v>0</v>
      </c>
    </row>
    <row r="285" spans="1:16" x14ac:dyDescent="0.25">
      <c r="A285" s="1" t="str">
        <f t="shared" ref="A285:E300" si="98">A226</f>
        <v>P205</v>
      </c>
      <c r="B285" s="1">
        <f t="shared" si="98"/>
        <v>205</v>
      </c>
      <c r="C285" s="1">
        <f t="shared" si="98"/>
        <v>1699</v>
      </c>
      <c r="D285" s="1">
        <f t="shared" si="98"/>
        <v>7</v>
      </c>
      <c r="E285" s="1">
        <f t="shared" si="98"/>
        <v>14</v>
      </c>
      <c r="F285" s="2">
        <f t="shared" si="95"/>
        <v>5</v>
      </c>
      <c r="H285" s="9" t="s">
        <v>92</v>
      </c>
      <c r="I285" s="9" t="s">
        <v>80</v>
      </c>
      <c r="J285" s="9" t="s">
        <v>33</v>
      </c>
      <c r="K285" s="9">
        <v>32.31</v>
      </c>
      <c r="L285" s="2">
        <v>8</v>
      </c>
      <c r="M285" s="2">
        <v>16</v>
      </c>
      <c r="N285" s="2">
        <v>300.04000000000002</v>
      </c>
      <c r="P285" s="4">
        <f t="shared" si="96"/>
        <v>0</v>
      </c>
    </row>
    <row r="286" spans="1:16" x14ac:dyDescent="0.25">
      <c r="A286" s="1" t="str">
        <f t="shared" si="98"/>
        <v>P205</v>
      </c>
      <c r="B286" s="1">
        <f t="shared" si="98"/>
        <v>205</v>
      </c>
      <c r="C286" s="1">
        <f t="shared" si="98"/>
        <v>1888</v>
      </c>
      <c r="D286" s="1">
        <f t="shared" si="98"/>
        <v>7</v>
      </c>
      <c r="E286" s="1">
        <f t="shared" si="98"/>
        <v>13</v>
      </c>
      <c r="F286" s="2">
        <f t="shared" si="95"/>
        <v>5</v>
      </c>
      <c r="H286" s="9" t="s">
        <v>92</v>
      </c>
      <c r="I286" s="9" t="s">
        <v>81</v>
      </c>
      <c r="J286" s="9" t="s">
        <v>33</v>
      </c>
      <c r="K286" s="9">
        <v>28.25</v>
      </c>
      <c r="L286" s="2">
        <v>7</v>
      </c>
      <c r="M286" s="2">
        <v>14</v>
      </c>
      <c r="N286" s="2">
        <v>300.01</v>
      </c>
      <c r="P286" s="4">
        <f t="shared" si="96"/>
        <v>0</v>
      </c>
    </row>
    <row r="287" spans="1:16" x14ac:dyDescent="0.25">
      <c r="A287" s="1" t="str">
        <f t="shared" si="98"/>
        <v>P205</v>
      </c>
      <c r="B287" s="1">
        <f t="shared" si="98"/>
        <v>205</v>
      </c>
      <c r="C287" s="1">
        <f t="shared" si="98"/>
        <v>1920</v>
      </c>
      <c r="D287" s="1">
        <f t="shared" si="98"/>
        <v>7</v>
      </c>
      <c r="E287" s="1">
        <f t="shared" si="98"/>
        <v>13</v>
      </c>
      <c r="F287" s="2">
        <f t="shared" si="95"/>
        <v>5</v>
      </c>
      <c r="H287" s="9" t="s">
        <v>92</v>
      </c>
      <c r="I287" s="9" t="s">
        <v>82</v>
      </c>
      <c r="J287" s="9" t="s">
        <v>33</v>
      </c>
      <c r="K287" s="9">
        <v>28.26</v>
      </c>
      <c r="L287" s="2">
        <v>7</v>
      </c>
      <c r="M287" s="2">
        <v>14</v>
      </c>
      <c r="N287" s="2">
        <v>300.02</v>
      </c>
      <c r="P287" s="4">
        <f t="shared" si="96"/>
        <v>0</v>
      </c>
    </row>
    <row r="288" spans="1:16" x14ac:dyDescent="0.25">
      <c r="A288" s="1" t="str">
        <f t="shared" si="98"/>
        <v>P205</v>
      </c>
      <c r="B288" s="1">
        <f t="shared" si="98"/>
        <v>205</v>
      </c>
      <c r="C288" s="1">
        <f t="shared" si="98"/>
        <v>2077</v>
      </c>
      <c r="D288" s="1">
        <f t="shared" si="98"/>
        <v>6</v>
      </c>
      <c r="E288" s="1">
        <f t="shared" si="98"/>
        <v>12</v>
      </c>
      <c r="F288" s="2">
        <f t="shared" si="95"/>
        <v>5</v>
      </c>
      <c r="H288" s="9" t="s">
        <v>92</v>
      </c>
      <c r="I288" s="9" t="s">
        <v>83</v>
      </c>
      <c r="J288" s="9" t="s">
        <v>33</v>
      </c>
      <c r="K288" s="9">
        <v>27.68</v>
      </c>
      <c r="L288" s="2">
        <v>7</v>
      </c>
      <c r="M288" s="2">
        <v>13</v>
      </c>
      <c r="N288" s="2">
        <v>300.02</v>
      </c>
      <c r="P288" s="4">
        <f t="shared" si="96"/>
        <v>0</v>
      </c>
    </row>
    <row r="289" spans="1:16" x14ac:dyDescent="0.25">
      <c r="A289" s="1" t="str">
        <f t="shared" si="98"/>
        <v>P205</v>
      </c>
      <c r="B289" s="1">
        <f t="shared" si="98"/>
        <v>205</v>
      </c>
      <c r="C289" s="1">
        <f t="shared" si="98"/>
        <v>2100</v>
      </c>
      <c r="D289" s="1">
        <f t="shared" si="98"/>
        <v>6</v>
      </c>
      <c r="E289" s="1">
        <f t="shared" si="98"/>
        <v>12</v>
      </c>
      <c r="F289" s="2">
        <f t="shared" si="95"/>
        <v>5</v>
      </c>
      <c r="H289" s="9" t="s">
        <v>92</v>
      </c>
      <c r="I289" s="9" t="s">
        <v>84</v>
      </c>
      <c r="J289" s="9" t="s">
        <v>33</v>
      </c>
      <c r="K289" s="9">
        <v>27.73</v>
      </c>
      <c r="L289" s="2">
        <v>7</v>
      </c>
      <c r="M289" s="2">
        <v>13</v>
      </c>
      <c r="N289" s="2">
        <v>300.02999999999997</v>
      </c>
      <c r="P289" s="4">
        <f t="shared" si="96"/>
        <v>0</v>
      </c>
    </row>
    <row r="290" spans="1:16" x14ac:dyDescent="0.25">
      <c r="A290" s="1" t="str">
        <f t="shared" si="98"/>
        <v>P205</v>
      </c>
      <c r="B290" s="1">
        <f t="shared" si="98"/>
        <v>205</v>
      </c>
      <c r="C290" s="1">
        <f t="shared" si="98"/>
        <v>2266</v>
      </c>
      <c r="D290" s="1">
        <f t="shared" si="98"/>
        <v>6</v>
      </c>
      <c r="E290" s="1">
        <f t="shared" si="98"/>
        <v>11</v>
      </c>
      <c r="F290" s="2">
        <f t="shared" si="95"/>
        <v>5</v>
      </c>
      <c r="H290" s="9" t="s">
        <v>92</v>
      </c>
      <c r="I290" s="9" t="s">
        <v>85</v>
      </c>
      <c r="J290" s="9" t="s">
        <v>33</v>
      </c>
      <c r="K290" s="9">
        <v>24.28</v>
      </c>
      <c r="L290" s="2">
        <v>6</v>
      </c>
      <c r="M290" s="2">
        <v>12</v>
      </c>
      <c r="N290" s="2">
        <v>300.02</v>
      </c>
      <c r="P290" s="4">
        <f t="shared" si="96"/>
        <v>0</v>
      </c>
    </row>
    <row r="291" spans="1:16" x14ac:dyDescent="0.25">
      <c r="A291" s="1" t="str">
        <f t="shared" si="98"/>
        <v>P205</v>
      </c>
      <c r="B291" s="1">
        <f t="shared" si="98"/>
        <v>205</v>
      </c>
      <c r="C291" s="1">
        <f t="shared" si="98"/>
        <v>2300</v>
      </c>
      <c r="D291" s="1">
        <f t="shared" si="98"/>
        <v>6</v>
      </c>
      <c r="E291" s="1">
        <f t="shared" si="98"/>
        <v>11</v>
      </c>
      <c r="F291" s="2">
        <f t="shared" si="95"/>
        <v>5</v>
      </c>
      <c r="H291" s="9" t="s">
        <v>92</v>
      </c>
      <c r="I291" s="9" t="s">
        <v>86</v>
      </c>
      <c r="J291" s="9" t="s">
        <v>33</v>
      </c>
      <c r="K291" s="9">
        <v>24.33</v>
      </c>
      <c r="L291" s="2">
        <v>6</v>
      </c>
      <c r="M291" s="2">
        <v>12</v>
      </c>
      <c r="N291" s="2">
        <v>300.02</v>
      </c>
      <c r="P291" s="4">
        <f t="shared" si="96"/>
        <v>0</v>
      </c>
    </row>
    <row r="292" spans="1:16" x14ac:dyDescent="0.25">
      <c r="A292" s="1" t="str">
        <f t="shared" si="98"/>
        <v>P205</v>
      </c>
      <c r="B292" s="1">
        <f t="shared" si="98"/>
        <v>205</v>
      </c>
      <c r="C292" s="1">
        <f t="shared" si="98"/>
        <v>2454</v>
      </c>
      <c r="D292" s="1">
        <f t="shared" si="98"/>
        <v>5</v>
      </c>
      <c r="E292" s="1">
        <f t="shared" si="98"/>
        <v>10</v>
      </c>
      <c r="F292" s="2">
        <f t="shared" si="95"/>
        <v>5</v>
      </c>
      <c r="H292" s="9" t="s">
        <v>92</v>
      </c>
      <c r="I292" s="9" t="s">
        <v>87</v>
      </c>
      <c r="J292" s="9" t="s">
        <v>33</v>
      </c>
      <c r="K292" s="9">
        <v>24.42</v>
      </c>
      <c r="L292" s="2">
        <v>6</v>
      </c>
      <c r="M292" s="2">
        <v>12</v>
      </c>
      <c r="N292" s="2">
        <v>300.02</v>
      </c>
      <c r="P292" s="4">
        <f t="shared" si="96"/>
        <v>0</v>
      </c>
    </row>
    <row r="293" spans="1:16" x14ac:dyDescent="0.25">
      <c r="A293" s="1" t="str">
        <f t="shared" si="98"/>
        <v>P205</v>
      </c>
      <c r="B293" s="1">
        <f t="shared" si="98"/>
        <v>205</v>
      </c>
      <c r="C293" s="1">
        <f t="shared" si="98"/>
        <v>2500</v>
      </c>
      <c r="D293" s="1">
        <f t="shared" si="98"/>
        <v>5</v>
      </c>
      <c r="E293" s="1">
        <f t="shared" si="98"/>
        <v>10</v>
      </c>
      <c r="F293" s="2">
        <f t="shared" si="95"/>
        <v>5</v>
      </c>
      <c r="H293" s="9" t="s">
        <v>92</v>
      </c>
      <c r="I293" s="9" t="s">
        <v>88</v>
      </c>
      <c r="J293" s="9" t="s">
        <v>33</v>
      </c>
      <c r="K293" s="9">
        <v>23.79</v>
      </c>
      <c r="L293" s="2">
        <v>6</v>
      </c>
      <c r="M293" s="2">
        <v>11</v>
      </c>
      <c r="N293" s="2">
        <v>300.01</v>
      </c>
      <c r="P293" s="4">
        <f t="shared" si="96"/>
        <v>0</v>
      </c>
    </row>
    <row r="294" spans="1:16" x14ac:dyDescent="0.25">
      <c r="A294" s="1" t="str">
        <f t="shared" si="98"/>
        <v>P205</v>
      </c>
      <c r="B294" s="1">
        <f t="shared" si="98"/>
        <v>205</v>
      </c>
      <c r="C294" s="1">
        <f t="shared" si="98"/>
        <v>2643</v>
      </c>
      <c r="D294" s="1">
        <f t="shared" si="98"/>
        <v>5</v>
      </c>
      <c r="E294" s="1">
        <f t="shared" si="98"/>
        <v>9</v>
      </c>
      <c r="F294" s="2">
        <f t="shared" si="95"/>
        <v>5</v>
      </c>
      <c r="H294" s="9" t="s">
        <v>92</v>
      </c>
      <c r="I294" s="9" t="s">
        <v>89</v>
      </c>
      <c r="J294" s="9" t="s">
        <v>33</v>
      </c>
      <c r="K294" s="9">
        <v>23.54</v>
      </c>
      <c r="L294" s="2">
        <v>6</v>
      </c>
      <c r="M294" s="2">
        <v>11</v>
      </c>
      <c r="N294" s="2">
        <v>300</v>
      </c>
      <c r="P294" s="4">
        <f t="shared" si="96"/>
        <v>0</v>
      </c>
    </row>
    <row r="295" spans="1:16" x14ac:dyDescent="0.25">
      <c r="A295" s="1" t="str">
        <f t="shared" si="98"/>
        <v>P205</v>
      </c>
      <c r="B295" s="1">
        <f t="shared" si="98"/>
        <v>205</v>
      </c>
      <c r="C295" s="1">
        <f t="shared" si="98"/>
        <v>2800</v>
      </c>
      <c r="D295" s="1">
        <f t="shared" si="98"/>
        <v>5</v>
      </c>
      <c r="E295" s="1">
        <f t="shared" si="98"/>
        <v>9</v>
      </c>
      <c r="F295" s="2">
        <f t="shared" si="95"/>
        <v>5</v>
      </c>
      <c r="H295" s="9" t="s">
        <v>92</v>
      </c>
      <c r="I295" s="9" t="s">
        <v>90</v>
      </c>
      <c r="J295" s="9" t="s">
        <v>33</v>
      </c>
      <c r="K295" s="9">
        <v>20.36</v>
      </c>
      <c r="L295" s="2">
        <v>5</v>
      </c>
      <c r="M295" s="2">
        <v>10</v>
      </c>
      <c r="N295" s="2">
        <v>300.02</v>
      </c>
      <c r="P295" s="4">
        <f t="shared" si="96"/>
        <v>0</v>
      </c>
    </row>
    <row r="296" spans="1:16" x14ac:dyDescent="0.25">
      <c r="A296" s="1" t="str">
        <f t="shared" si="98"/>
        <v>P205</v>
      </c>
      <c r="B296" s="1">
        <f t="shared" si="98"/>
        <v>205</v>
      </c>
      <c r="C296" s="1">
        <f t="shared" si="98"/>
        <v>2832</v>
      </c>
      <c r="D296" s="1">
        <f t="shared" si="98"/>
        <v>5</v>
      </c>
      <c r="E296" s="1">
        <f t="shared" si="98"/>
        <v>9</v>
      </c>
      <c r="F296" s="2">
        <f t="shared" si="95"/>
        <v>5</v>
      </c>
      <c r="H296" s="9" t="s">
        <v>92</v>
      </c>
      <c r="I296" s="9" t="s">
        <v>91</v>
      </c>
      <c r="J296" s="9" t="s">
        <v>33</v>
      </c>
      <c r="K296" s="9">
        <v>20.36</v>
      </c>
      <c r="L296" s="2">
        <v>5</v>
      </c>
      <c r="M296" s="2">
        <v>10</v>
      </c>
      <c r="N296" s="2">
        <v>300.01</v>
      </c>
      <c r="P296" s="4">
        <f t="shared" si="96"/>
        <v>0</v>
      </c>
    </row>
    <row r="297" spans="1:16" x14ac:dyDescent="0.25">
      <c r="A297" s="1" t="str">
        <f t="shared" si="98"/>
        <v>P9</v>
      </c>
      <c r="B297" s="1">
        <f t="shared" si="98"/>
        <v>9</v>
      </c>
      <c r="C297" s="1">
        <f t="shared" si="98"/>
        <v>3</v>
      </c>
      <c r="D297" s="1">
        <f t="shared" si="98"/>
        <v>3</v>
      </c>
      <c r="E297" s="1">
        <f t="shared" si="98"/>
        <v>6</v>
      </c>
      <c r="F297" s="2">
        <f t="shared" si="95"/>
        <v>6</v>
      </c>
      <c r="H297" s="9" t="s">
        <v>92</v>
      </c>
      <c r="I297" s="9" t="s">
        <v>32</v>
      </c>
      <c r="J297" s="9" t="s">
        <v>33</v>
      </c>
      <c r="K297" s="9">
        <v>12.17</v>
      </c>
      <c r="L297" s="2">
        <v>3</v>
      </c>
      <c r="M297" s="2">
        <v>6</v>
      </c>
      <c r="N297" s="2">
        <v>0</v>
      </c>
      <c r="P297" s="4">
        <f t="shared" si="96"/>
        <v>1</v>
      </c>
    </row>
    <row r="298" spans="1:16" x14ac:dyDescent="0.25">
      <c r="A298" s="1" t="str">
        <f t="shared" si="98"/>
        <v>P9</v>
      </c>
      <c r="B298" s="1">
        <f t="shared" si="98"/>
        <v>9</v>
      </c>
      <c r="C298" s="1">
        <f t="shared" si="98"/>
        <v>4</v>
      </c>
      <c r="D298" s="1">
        <f t="shared" si="98"/>
        <v>3</v>
      </c>
      <c r="E298" s="1">
        <f t="shared" si="98"/>
        <v>5</v>
      </c>
      <c r="F298" s="2">
        <f t="shared" si="95"/>
        <v>6</v>
      </c>
      <c r="H298" s="9" t="s">
        <v>92</v>
      </c>
      <c r="I298" s="9" t="s">
        <v>34</v>
      </c>
      <c r="J298" s="9" t="s">
        <v>33</v>
      </c>
      <c r="K298" s="9">
        <v>11.42</v>
      </c>
      <c r="L298" s="2">
        <v>3</v>
      </c>
      <c r="M298" s="2">
        <v>5</v>
      </c>
      <c r="N298" s="2">
        <v>0</v>
      </c>
      <c r="P298" s="4">
        <f t="shared" si="96"/>
        <v>1</v>
      </c>
    </row>
    <row r="299" spans="1:16" x14ac:dyDescent="0.25">
      <c r="A299" s="1" t="str">
        <f t="shared" si="98"/>
        <v>P9</v>
      </c>
      <c r="B299" s="1">
        <f t="shared" si="98"/>
        <v>9</v>
      </c>
      <c r="C299" s="1">
        <f t="shared" si="98"/>
        <v>5</v>
      </c>
      <c r="D299" s="1">
        <f t="shared" si="98"/>
        <v>2</v>
      </c>
      <c r="E299" s="1">
        <f t="shared" si="98"/>
        <v>4</v>
      </c>
      <c r="F299" s="2">
        <f t="shared" si="95"/>
        <v>6</v>
      </c>
      <c r="H299" s="9" t="s">
        <v>92</v>
      </c>
      <c r="I299" s="9" t="s">
        <v>35</v>
      </c>
      <c r="J299" s="9" t="s">
        <v>33</v>
      </c>
      <c r="K299" s="9">
        <v>8.15</v>
      </c>
      <c r="L299" s="2">
        <v>2</v>
      </c>
      <c r="M299" s="2">
        <v>4</v>
      </c>
      <c r="N299" s="2">
        <v>0</v>
      </c>
      <c r="P299" s="4">
        <f t="shared" si="96"/>
        <v>1</v>
      </c>
    </row>
    <row r="300" spans="1:16" x14ac:dyDescent="0.25">
      <c r="A300" s="1" t="str">
        <f t="shared" si="98"/>
        <v>P9</v>
      </c>
      <c r="B300" s="1">
        <f t="shared" si="98"/>
        <v>9</v>
      </c>
      <c r="C300" s="1">
        <f t="shared" si="98"/>
        <v>6</v>
      </c>
      <c r="D300" s="1">
        <f t="shared" si="98"/>
        <v>2</v>
      </c>
      <c r="E300" s="1">
        <f t="shared" si="98"/>
        <v>3</v>
      </c>
      <c r="F300" s="2">
        <f t="shared" si="95"/>
        <v>6</v>
      </c>
      <c r="H300" s="9" t="s">
        <v>92</v>
      </c>
      <c r="I300" s="9" t="s">
        <v>36</v>
      </c>
      <c r="J300" s="9" t="s">
        <v>33</v>
      </c>
      <c r="K300" s="9">
        <v>7.29</v>
      </c>
      <c r="L300" s="2">
        <v>2</v>
      </c>
      <c r="M300" s="2">
        <v>3</v>
      </c>
      <c r="N300" s="2">
        <v>0</v>
      </c>
      <c r="P300" s="4">
        <f t="shared" si="96"/>
        <v>1</v>
      </c>
    </row>
    <row r="301" spans="1:16" x14ac:dyDescent="0.25">
      <c r="A301" s="1" t="str">
        <f t="shared" ref="A301:E316" si="99">A242</f>
        <v>P9</v>
      </c>
      <c r="B301" s="1">
        <f t="shared" si="99"/>
        <v>9</v>
      </c>
      <c r="C301" s="1">
        <f t="shared" si="99"/>
        <v>7</v>
      </c>
      <c r="D301" s="1">
        <f t="shared" si="99"/>
        <v>2</v>
      </c>
      <c r="E301" s="1">
        <f t="shared" si="99"/>
        <v>3</v>
      </c>
      <c r="F301" s="2">
        <f t="shared" si="95"/>
        <v>6</v>
      </c>
      <c r="H301" s="9" t="s">
        <v>92</v>
      </c>
      <c r="I301" s="9" t="s">
        <v>37</v>
      </c>
      <c r="J301" s="9" t="s">
        <v>33</v>
      </c>
      <c r="K301" s="9">
        <v>7.39</v>
      </c>
      <c r="L301" s="2">
        <v>2</v>
      </c>
      <c r="M301" s="2">
        <v>3</v>
      </c>
      <c r="N301" s="2">
        <v>0</v>
      </c>
      <c r="P301" s="4">
        <f t="shared" si="96"/>
        <v>1</v>
      </c>
    </row>
    <row r="302" spans="1:16" x14ac:dyDescent="0.25">
      <c r="A302" s="1" t="str">
        <f t="shared" si="99"/>
        <v>P12</v>
      </c>
      <c r="B302" s="1">
        <f t="shared" si="99"/>
        <v>12</v>
      </c>
      <c r="C302" s="1">
        <f t="shared" si="99"/>
        <v>4</v>
      </c>
      <c r="D302" s="1">
        <f t="shared" si="99"/>
        <v>4</v>
      </c>
      <c r="E302" s="1">
        <f t="shared" si="99"/>
        <v>7</v>
      </c>
      <c r="F302" s="2">
        <f t="shared" si="95"/>
        <v>6</v>
      </c>
      <c r="H302" s="9" t="s">
        <v>92</v>
      </c>
      <c r="I302" s="9" t="s">
        <v>38</v>
      </c>
      <c r="J302" s="9" t="s">
        <v>33</v>
      </c>
      <c r="K302" s="9">
        <v>15.31</v>
      </c>
      <c r="L302" s="2">
        <v>4</v>
      </c>
      <c r="M302" s="2">
        <v>7</v>
      </c>
      <c r="N302" s="2">
        <v>0</v>
      </c>
      <c r="P302" s="4">
        <f t="shared" si="96"/>
        <v>1</v>
      </c>
    </row>
    <row r="303" spans="1:16" x14ac:dyDescent="0.25">
      <c r="A303" s="1" t="str">
        <f t="shared" si="99"/>
        <v>P12</v>
      </c>
      <c r="B303" s="1">
        <f t="shared" si="99"/>
        <v>12</v>
      </c>
      <c r="C303" s="1">
        <f t="shared" si="99"/>
        <v>5</v>
      </c>
      <c r="D303" s="1">
        <f t="shared" si="99"/>
        <v>3</v>
      </c>
      <c r="E303" s="1">
        <f t="shared" si="99"/>
        <v>6</v>
      </c>
      <c r="F303" s="2">
        <f t="shared" si="95"/>
        <v>6</v>
      </c>
      <c r="H303" s="9" t="s">
        <v>92</v>
      </c>
      <c r="I303" s="9" t="s">
        <v>39</v>
      </c>
      <c r="J303" s="9" t="s">
        <v>33</v>
      </c>
      <c r="K303" s="9">
        <v>12.23</v>
      </c>
      <c r="L303" s="2">
        <v>3</v>
      </c>
      <c r="M303" s="2">
        <v>6</v>
      </c>
      <c r="N303" s="2">
        <v>300</v>
      </c>
      <c r="P303" s="4">
        <f t="shared" si="96"/>
        <v>1</v>
      </c>
    </row>
    <row r="304" spans="1:16" x14ac:dyDescent="0.25">
      <c r="A304" s="1" t="str">
        <f t="shared" si="99"/>
        <v>P12</v>
      </c>
      <c r="B304" s="1">
        <f t="shared" si="99"/>
        <v>12</v>
      </c>
      <c r="C304" s="1">
        <f t="shared" si="99"/>
        <v>6</v>
      </c>
      <c r="D304" s="1">
        <f t="shared" si="99"/>
        <v>3</v>
      </c>
      <c r="E304" s="1">
        <f t="shared" si="99"/>
        <v>5</v>
      </c>
      <c r="F304" s="2">
        <f t="shared" si="95"/>
        <v>6</v>
      </c>
      <c r="H304" s="9" t="s">
        <v>92</v>
      </c>
      <c r="I304" s="9" t="s">
        <v>40</v>
      </c>
      <c r="J304" s="9" t="s">
        <v>33</v>
      </c>
      <c r="K304" s="9">
        <v>11.33</v>
      </c>
      <c r="L304" s="2">
        <v>3</v>
      </c>
      <c r="M304" s="2">
        <v>5</v>
      </c>
      <c r="N304" s="2">
        <v>0</v>
      </c>
      <c r="P304" s="4">
        <f t="shared" si="96"/>
        <v>1</v>
      </c>
    </row>
    <row r="305" spans="1:16" x14ac:dyDescent="0.25">
      <c r="A305" s="1" t="str">
        <f t="shared" si="99"/>
        <v>P12</v>
      </c>
      <c r="B305" s="1">
        <f t="shared" si="99"/>
        <v>12</v>
      </c>
      <c r="C305" s="1">
        <f t="shared" si="99"/>
        <v>7</v>
      </c>
      <c r="D305" s="1">
        <f t="shared" si="99"/>
        <v>2</v>
      </c>
      <c r="E305" s="1">
        <f t="shared" si="99"/>
        <v>4</v>
      </c>
      <c r="F305" s="2">
        <f t="shared" si="95"/>
        <v>6</v>
      </c>
      <c r="H305" s="9" t="s">
        <v>92</v>
      </c>
      <c r="I305" s="9" t="s">
        <v>41</v>
      </c>
      <c r="J305" s="9" t="s">
        <v>33</v>
      </c>
      <c r="K305" s="9">
        <v>8.11</v>
      </c>
      <c r="L305" s="2">
        <v>2</v>
      </c>
      <c r="M305" s="2">
        <v>4</v>
      </c>
      <c r="N305" s="2">
        <v>0</v>
      </c>
      <c r="P305" s="4">
        <f t="shared" si="96"/>
        <v>1</v>
      </c>
    </row>
    <row r="306" spans="1:16" x14ac:dyDescent="0.25">
      <c r="A306" s="1" t="str">
        <f t="shared" si="99"/>
        <v>P12</v>
      </c>
      <c r="B306" s="1">
        <f t="shared" si="99"/>
        <v>12</v>
      </c>
      <c r="C306" s="1">
        <f t="shared" si="99"/>
        <v>8</v>
      </c>
      <c r="D306" s="1">
        <f t="shared" si="99"/>
        <v>2</v>
      </c>
      <c r="E306" s="1">
        <f t="shared" si="99"/>
        <v>4</v>
      </c>
      <c r="F306" s="2">
        <f t="shared" si="95"/>
        <v>6</v>
      </c>
      <c r="H306" s="9" t="s">
        <v>92</v>
      </c>
      <c r="I306" s="9" t="s">
        <v>42</v>
      </c>
      <c r="J306" s="9" t="s">
        <v>33</v>
      </c>
      <c r="K306" s="9">
        <v>8.2200000000000006</v>
      </c>
      <c r="L306" s="2">
        <v>2</v>
      </c>
      <c r="M306" s="2">
        <v>4</v>
      </c>
      <c r="N306" s="2">
        <v>0</v>
      </c>
      <c r="P306" s="4">
        <f t="shared" si="96"/>
        <v>1</v>
      </c>
    </row>
    <row r="307" spans="1:16" x14ac:dyDescent="0.25">
      <c r="A307" s="1" t="str">
        <f t="shared" si="99"/>
        <v>P12</v>
      </c>
      <c r="B307" s="1">
        <f t="shared" si="99"/>
        <v>12</v>
      </c>
      <c r="C307" s="1">
        <f t="shared" si="99"/>
        <v>9</v>
      </c>
      <c r="D307" s="1">
        <f t="shared" si="99"/>
        <v>2</v>
      </c>
      <c r="E307" s="1">
        <f t="shared" si="99"/>
        <v>3</v>
      </c>
      <c r="F307" s="2">
        <f t="shared" si="95"/>
        <v>6</v>
      </c>
      <c r="H307" s="9" t="s">
        <v>92</v>
      </c>
      <c r="I307" s="9" t="s">
        <v>43</v>
      </c>
      <c r="J307" s="9" t="s">
        <v>33</v>
      </c>
      <c r="K307" s="9">
        <v>7.31</v>
      </c>
      <c r="L307" s="2">
        <v>2</v>
      </c>
      <c r="M307" s="2">
        <v>3</v>
      </c>
      <c r="N307" s="2">
        <v>0</v>
      </c>
      <c r="P307" s="4">
        <f t="shared" si="96"/>
        <v>1</v>
      </c>
    </row>
    <row r="308" spans="1:16" x14ac:dyDescent="0.25">
      <c r="A308" s="1" t="str">
        <f t="shared" si="99"/>
        <v>P16</v>
      </c>
      <c r="B308" s="1">
        <f t="shared" si="99"/>
        <v>16</v>
      </c>
      <c r="C308" s="1">
        <f t="shared" si="99"/>
        <v>15</v>
      </c>
      <c r="D308" s="1">
        <f t="shared" si="99"/>
        <v>4</v>
      </c>
      <c r="E308" s="1">
        <f t="shared" si="99"/>
        <v>6</v>
      </c>
      <c r="F308" s="2">
        <f t="shared" si="95"/>
        <v>6</v>
      </c>
      <c r="H308" s="9" t="s">
        <v>92</v>
      </c>
      <c r="I308" s="9" t="s">
        <v>44</v>
      </c>
      <c r="J308" s="9" t="s">
        <v>33</v>
      </c>
      <c r="K308" s="9">
        <v>14.68</v>
      </c>
      <c r="L308" s="2">
        <v>4</v>
      </c>
      <c r="M308" s="2">
        <v>6</v>
      </c>
      <c r="N308" s="2">
        <v>300</v>
      </c>
      <c r="P308" s="4">
        <f t="shared" si="96"/>
        <v>1</v>
      </c>
    </row>
    <row r="309" spans="1:16" x14ac:dyDescent="0.25">
      <c r="A309" s="1" t="str">
        <f t="shared" si="99"/>
        <v>P16</v>
      </c>
      <c r="B309" s="1">
        <f t="shared" si="99"/>
        <v>16</v>
      </c>
      <c r="C309" s="1">
        <f t="shared" si="99"/>
        <v>16</v>
      </c>
      <c r="D309" s="1">
        <f t="shared" si="99"/>
        <v>3</v>
      </c>
      <c r="E309" s="1">
        <f t="shared" si="99"/>
        <v>6</v>
      </c>
      <c r="F309" s="2">
        <f t="shared" si="95"/>
        <v>6</v>
      </c>
      <c r="H309" s="9" t="s">
        <v>92</v>
      </c>
      <c r="I309" s="9" t="s">
        <v>45</v>
      </c>
      <c r="J309" s="9" t="s">
        <v>33</v>
      </c>
      <c r="K309" s="9">
        <v>12.29</v>
      </c>
      <c r="L309" s="2">
        <v>3</v>
      </c>
      <c r="M309" s="2">
        <v>6</v>
      </c>
      <c r="N309" s="2">
        <v>0</v>
      </c>
      <c r="P309" s="4">
        <f t="shared" si="96"/>
        <v>1</v>
      </c>
    </row>
    <row r="310" spans="1:16" x14ac:dyDescent="0.25">
      <c r="A310" s="1" t="str">
        <f t="shared" si="99"/>
        <v>P16</v>
      </c>
      <c r="B310" s="1">
        <f t="shared" si="99"/>
        <v>16</v>
      </c>
      <c r="C310" s="1">
        <f t="shared" si="99"/>
        <v>18</v>
      </c>
      <c r="D310" s="1">
        <f t="shared" si="99"/>
        <v>3</v>
      </c>
      <c r="E310" s="1">
        <f t="shared" si="99"/>
        <v>6</v>
      </c>
      <c r="F310" s="2">
        <f t="shared" si="95"/>
        <v>6</v>
      </c>
      <c r="H310" s="9" t="s">
        <v>92</v>
      </c>
      <c r="I310" s="9" t="s">
        <v>46</v>
      </c>
      <c r="J310" s="9" t="s">
        <v>33</v>
      </c>
      <c r="K310" s="9">
        <v>12.41</v>
      </c>
      <c r="L310" s="2">
        <v>3</v>
      </c>
      <c r="M310" s="2">
        <v>6</v>
      </c>
      <c r="N310" s="2">
        <v>300</v>
      </c>
      <c r="P310" s="4">
        <f t="shared" si="96"/>
        <v>1</v>
      </c>
    </row>
    <row r="311" spans="1:16" x14ac:dyDescent="0.25">
      <c r="A311" s="1" t="str">
        <f t="shared" si="99"/>
        <v>P16</v>
      </c>
      <c r="B311" s="1">
        <f t="shared" si="99"/>
        <v>16</v>
      </c>
      <c r="C311" s="1">
        <f t="shared" si="99"/>
        <v>19</v>
      </c>
      <c r="D311" s="1">
        <f t="shared" si="99"/>
        <v>3</v>
      </c>
      <c r="E311" s="1">
        <f t="shared" si="99"/>
        <v>5</v>
      </c>
      <c r="F311" s="2">
        <f t="shared" si="95"/>
        <v>6</v>
      </c>
      <c r="H311" s="9" t="s">
        <v>92</v>
      </c>
      <c r="I311" s="9" t="s">
        <v>47</v>
      </c>
      <c r="J311" s="9" t="s">
        <v>33</v>
      </c>
      <c r="K311" s="9">
        <v>12.49</v>
      </c>
      <c r="L311" s="2">
        <v>3</v>
      </c>
      <c r="M311" s="2">
        <v>6</v>
      </c>
      <c r="N311" s="2">
        <v>300</v>
      </c>
      <c r="P311" s="4">
        <f t="shared" si="96"/>
        <v>0</v>
      </c>
    </row>
    <row r="312" spans="1:16" x14ac:dyDescent="0.25">
      <c r="A312" s="1" t="str">
        <f t="shared" si="99"/>
        <v>P16</v>
      </c>
      <c r="B312" s="1">
        <f t="shared" si="99"/>
        <v>16</v>
      </c>
      <c r="C312" s="1">
        <f t="shared" si="99"/>
        <v>20</v>
      </c>
      <c r="D312" s="1">
        <f t="shared" si="99"/>
        <v>3</v>
      </c>
      <c r="E312" s="1">
        <f t="shared" si="99"/>
        <v>5</v>
      </c>
      <c r="F312" s="2">
        <f t="shared" si="95"/>
        <v>6</v>
      </c>
      <c r="H312" s="9" t="s">
        <v>92</v>
      </c>
      <c r="I312" s="9" t="s">
        <v>48</v>
      </c>
      <c r="J312" s="9" t="s">
        <v>33</v>
      </c>
      <c r="K312" s="9">
        <v>12.57</v>
      </c>
      <c r="L312" s="2">
        <v>3</v>
      </c>
      <c r="M312" s="2">
        <v>6</v>
      </c>
      <c r="N312" s="2">
        <v>300</v>
      </c>
      <c r="P312" s="4">
        <f t="shared" si="96"/>
        <v>0</v>
      </c>
    </row>
    <row r="313" spans="1:16" x14ac:dyDescent="0.25">
      <c r="A313" s="1" t="str">
        <f t="shared" si="99"/>
        <v>P16</v>
      </c>
      <c r="B313" s="1">
        <f t="shared" si="99"/>
        <v>16</v>
      </c>
      <c r="C313" s="1">
        <f t="shared" si="99"/>
        <v>21</v>
      </c>
      <c r="D313" s="1">
        <f t="shared" si="99"/>
        <v>3</v>
      </c>
      <c r="E313" s="1">
        <f t="shared" si="99"/>
        <v>5</v>
      </c>
      <c r="F313" s="2">
        <f t="shared" si="95"/>
        <v>6</v>
      </c>
      <c r="H313" s="9" t="s">
        <v>92</v>
      </c>
      <c r="I313" s="9" t="s">
        <v>49</v>
      </c>
      <c r="J313" s="9" t="s">
        <v>33</v>
      </c>
      <c r="K313" s="9">
        <v>11.57</v>
      </c>
      <c r="L313" s="2">
        <v>3</v>
      </c>
      <c r="M313" s="2">
        <v>5</v>
      </c>
      <c r="N313" s="2">
        <v>300</v>
      </c>
      <c r="P313" s="4">
        <f t="shared" si="96"/>
        <v>1</v>
      </c>
    </row>
    <row r="314" spans="1:16" x14ac:dyDescent="0.25">
      <c r="A314" s="1" t="str">
        <f t="shared" si="99"/>
        <v>P16</v>
      </c>
      <c r="B314" s="1">
        <f t="shared" si="99"/>
        <v>16</v>
      </c>
      <c r="C314" s="1">
        <f t="shared" si="99"/>
        <v>22</v>
      </c>
      <c r="D314" s="1">
        <f t="shared" si="99"/>
        <v>2</v>
      </c>
      <c r="E314" s="1">
        <f t="shared" si="99"/>
        <v>4</v>
      </c>
      <c r="F314" s="2">
        <f t="shared" si="95"/>
        <v>6</v>
      </c>
      <c r="H314" s="9" t="s">
        <v>92</v>
      </c>
      <c r="I314" s="9" t="s">
        <v>50</v>
      </c>
      <c r="J314" s="9" t="s">
        <v>33</v>
      </c>
      <c r="K314" s="9">
        <v>8.1</v>
      </c>
      <c r="L314" s="2">
        <v>2</v>
      </c>
      <c r="M314" s="2">
        <v>4</v>
      </c>
      <c r="N314" s="2">
        <v>0</v>
      </c>
      <c r="P314" s="4">
        <f t="shared" si="96"/>
        <v>1</v>
      </c>
    </row>
    <row r="315" spans="1:16" x14ac:dyDescent="0.25">
      <c r="A315" s="1" t="str">
        <f t="shared" si="99"/>
        <v>P24</v>
      </c>
      <c r="B315" s="1">
        <f t="shared" si="99"/>
        <v>24</v>
      </c>
      <c r="C315" s="1">
        <f t="shared" si="99"/>
        <v>18</v>
      </c>
      <c r="D315" s="1">
        <f t="shared" si="99"/>
        <v>4</v>
      </c>
      <c r="E315" s="1">
        <f t="shared" si="99"/>
        <v>8</v>
      </c>
      <c r="F315" s="2">
        <f t="shared" si="95"/>
        <v>6</v>
      </c>
      <c r="H315" s="9" t="s">
        <v>92</v>
      </c>
      <c r="I315" s="9" t="s">
        <v>51</v>
      </c>
      <c r="J315" s="9" t="s">
        <v>33</v>
      </c>
      <c r="K315" s="9">
        <v>16.059999999999999</v>
      </c>
      <c r="L315" s="2">
        <v>4</v>
      </c>
      <c r="M315" s="2">
        <v>8</v>
      </c>
      <c r="N315" s="2">
        <v>0</v>
      </c>
      <c r="P315" s="4">
        <f t="shared" si="96"/>
        <v>1</v>
      </c>
    </row>
    <row r="316" spans="1:16" x14ac:dyDescent="0.25">
      <c r="A316" s="1" t="str">
        <f t="shared" si="99"/>
        <v>P24</v>
      </c>
      <c r="B316" s="1">
        <f t="shared" si="99"/>
        <v>24</v>
      </c>
      <c r="C316" s="1">
        <f t="shared" si="99"/>
        <v>20</v>
      </c>
      <c r="D316" s="1">
        <f t="shared" si="99"/>
        <v>4</v>
      </c>
      <c r="E316" s="1">
        <f t="shared" si="99"/>
        <v>7</v>
      </c>
      <c r="F316" s="2">
        <f t="shared" si="95"/>
        <v>6</v>
      </c>
      <c r="H316" s="9" t="s">
        <v>92</v>
      </c>
      <c r="I316" s="9" t="s">
        <v>52</v>
      </c>
      <c r="J316" s="9" t="s">
        <v>33</v>
      </c>
      <c r="K316" s="9">
        <v>16.16</v>
      </c>
      <c r="L316" s="2">
        <v>4</v>
      </c>
      <c r="M316" s="2">
        <v>8</v>
      </c>
      <c r="N316" s="2">
        <v>300</v>
      </c>
      <c r="P316" s="4">
        <f t="shared" si="96"/>
        <v>0</v>
      </c>
    </row>
    <row r="317" spans="1:16" x14ac:dyDescent="0.25">
      <c r="A317" s="1" t="str">
        <f t="shared" ref="A317:E332" si="100">A258</f>
        <v>P24</v>
      </c>
      <c r="B317" s="1">
        <f t="shared" si="100"/>
        <v>24</v>
      </c>
      <c r="C317" s="1">
        <f t="shared" si="100"/>
        <v>24</v>
      </c>
      <c r="D317" s="1">
        <f t="shared" si="100"/>
        <v>3</v>
      </c>
      <c r="E317" s="1">
        <f t="shared" si="100"/>
        <v>6</v>
      </c>
      <c r="F317" s="2">
        <f t="shared" si="95"/>
        <v>6</v>
      </c>
      <c r="H317" s="9" t="s">
        <v>92</v>
      </c>
      <c r="I317" s="9" t="s">
        <v>53</v>
      </c>
      <c r="J317" s="9" t="s">
        <v>33</v>
      </c>
      <c r="K317" s="9">
        <v>12.05</v>
      </c>
      <c r="L317" s="2">
        <v>3</v>
      </c>
      <c r="M317" s="2">
        <v>6</v>
      </c>
      <c r="N317" s="2">
        <v>0</v>
      </c>
      <c r="P317" s="4">
        <f t="shared" si="96"/>
        <v>1</v>
      </c>
    </row>
    <row r="318" spans="1:16" x14ac:dyDescent="0.25">
      <c r="A318" s="1" t="str">
        <f t="shared" si="100"/>
        <v>P24</v>
      </c>
      <c r="B318" s="1">
        <f t="shared" si="100"/>
        <v>24</v>
      </c>
      <c r="C318" s="1">
        <f t="shared" si="100"/>
        <v>25</v>
      </c>
      <c r="D318" s="1">
        <f t="shared" si="100"/>
        <v>3</v>
      </c>
      <c r="E318" s="1">
        <f t="shared" si="100"/>
        <v>6</v>
      </c>
      <c r="F318" s="2">
        <f t="shared" ref="F318:F381" si="101">F259+1</f>
        <v>6</v>
      </c>
      <c r="H318" s="9" t="s">
        <v>92</v>
      </c>
      <c r="I318" s="9" t="s">
        <v>54</v>
      </c>
      <c r="J318" s="9" t="s">
        <v>33</v>
      </c>
      <c r="K318" s="9">
        <v>12.1</v>
      </c>
      <c r="L318" s="2">
        <v>3</v>
      </c>
      <c r="M318" s="2">
        <v>6</v>
      </c>
      <c r="N318" s="2">
        <v>0</v>
      </c>
      <c r="P318" s="4">
        <f t="shared" si="96"/>
        <v>1</v>
      </c>
    </row>
    <row r="319" spans="1:16" x14ac:dyDescent="0.25">
      <c r="A319" s="1" t="str">
        <f t="shared" si="100"/>
        <v>P24</v>
      </c>
      <c r="B319" s="1">
        <f t="shared" si="100"/>
        <v>24</v>
      </c>
      <c r="C319" s="1">
        <f t="shared" si="100"/>
        <v>30</v>
      </c>
      <c r="D319" s="1">
        <f t="shared" si="100"/>
        <v>3</v>
      </c>
      <c r="E319" s="1">
        <f t="shared" si="100"/>
        <v>5</v>
      </c>
      <c r="F319" s="2">
        <f t="shared" si="101"/>
        <v>6</v>
      </c>
      <c r="H319" s="9" t="s">
        <v>92</v>
      </c>
      <c r="I319" s="9" t="s">
        <v>55</v>
      </c>
      <c r="J319" s="9" t="s">
        <v>33</v>
      </c>
      <c r="K319" s="9">
        <v>11.24</v>
      </c>
      <c r="L319" s="2">
        <v>3</v>
      </c>
      <c r="M319" s="2">
        <v>5</v>
      </c>
      <c r="N319" s="2">
        <v>0</v>
      </c>
      <c r="P319" s="4">
        <f t="shared" si="96"/>
        <v>1</v>
      </c>
    </row>
    <row r="320" spans="1:16" x14ac:dyDescent="0.25">
      <c r="A320" s="1" t="str">
        <f t="shared" si="100"/>
        <v>P24</v>
      </c>
      <c r="B320" s="1">
        <f t="shared" si="100"/>
        <v>24</v>
      </c>
      <c r="C320" s="1">
        <f t="shared" si="100"/>
        <v>35</v>
      </c>
      <c r="D320" s="1">
        <f t="shared" si="100"/>
        <v>2</v>
      </c>
      <c r="E320" s="1">
        <f t="shared" si="100"/>
        <v>4</v>
      </c>
      <c r="F320" s="2">
        <f t="shared" si="101"/>
        <v>6</v>
      </c>
      <c r="H320" s="9" t="s">
        <v>92</v>
      </c>
      <c r="I320" s="9" t="s">
        <v>56</v>
      </c>
      <c r="J320" s="9" t="s">
        <v>33</v>
      </c>
      <c r="K320" s="9">
        <v>8</v>
      </c>
      <c r="L320" s="2">
        <v>2</v>
      </c>
      <c r="M320" s="2">
        <v>4</v>
      </c>
      <c r="N320" s="2">
        <v>0.01</v>
      </c>
      <c r="P320" s="4">
        <f t="shared" si="96"/>
        <v>1</v>
      </c>
    </row>
    <row r="321" spans="1:16" x14ac:dyDescent="0.25">
      <c r="A321" s="1" t="str">
        <f t="shared" si="100"/>
        <v>P24</v>
      </c>
      <c r="B321" s="1">
        <f t="shared" si="100"/>
        <v>24</v>
      </c>
      <c r="C321" s="1">
        <f t="shared" si="100"/>
        <v>40</v>
      </c>
      <c r="D321" s="1">
        <f t="shared" si="100"/>
        <v>2</v>
      </c>
      <c r="E321" s="1">
        <f t="shared" si="100"/>
        <v>4</v>
      </c>
      <c r="F321" s="2">
        <f t="shared" si="101"/>
        <v>6</v>
      </c>
      <c r="H321" s="9" t="s">
        <v>92</v>
      </c>
      <c r="I321" s="9" t="s">
        <v>57</v>
      </c>
      <c r="J321" s="9" t="s">
        <v>33</v>
      </c>
      <c r="K321" s="9">
        <v>8.1300000000000008</v>
      </c>
      <c r="L321" s="2">
        <v>2</v>
      </c>
      <c r="M321" s="2">
        <v>4</v>
      </c>
      <c r="N321" s="2">
        <v>0.01</v>
      </c>
      <c r="P321" s="4">
        <f t="shared" si="96"/>
        <v>1</v>
      </c>
    </row>
    <row r="322" spans="1:16" x14ac:dyDescent="0.25">
      <c r="A322" s="1" t="str">
        <f t="shared" si="100"/>
        <v>P65</v>
      </c>
      <c r="B322" s="1">
        <f t="shared" si="100"/>
        <v>65</v>
      </c>
      <c r="C322" s="1">
        <f t="shared" si="100"/>
        <v>326</v>
      </c>
      <c r="D322" s="1">
        <f t="shared" si="100"/>
        <v>8</v>
      </c>
      <c r="E322" s="1">
        <f t="shared" si="100"/>
        <v>16</v>
      </c>
      <c r="F322" s="2">
        <f t="shared" si="101"/>
        <v>6</v>
      </c>
      <c r="H322" s="9" t="s">
        <v>92</v>
      </c>
      <c r="I322" s="9" t="s">
        <v>58</v>
      </c>
      <c r="J322" s="9" t="s">
        <v>33</v>
      </c>
      <c r="K322" s="9">
        <v>32.090000000000003</v>
      </c>
      <c r="L322" s="2">
        <v>8</v>
      </c>
      <c r="M322" s="2">
        <v>16</v>
      </c>
      <c r="N322" s="2">
        <v>5.96</v>
      </c>
      <c r="P322" s="4">
        <f t="shared" si="96"/>
        <v>1</v>
      </c>
    </row>
    <row r="323" spans="1:16" x14ac:dyDescent="0.25">
      <c r="A323" s="1" t="str">
        <f t="shared" si="100"/>
        <v>P65</v>
      </c>
      <c r="B323" s="1">
        <f t="shared" si="100"/>
        <v>65</v>
      </c>
      <c r="C323" s="1">
        <f t="shared" si="100"/>
        <v>381</v>
      </c>
      <c r="D323" s="1">
        <f t="shared" si="100"/>
        <v>7</v>
      </c>
      <c r="E323" s="1">
        <f t="shared" si="100"/>
        <v>14</v>
      </c>
      <c r="F323" s="2">
        <f t="shared" si="101"/>
        <v>6</v>
      </c>
      <c r="H323" s="9" t="s">
        <v>92</v>
      </c>
      <c r="I323" s="9" t="s">
        <v>59</v>
      </c>
      <c r="J323" s="9" t="s">
        <v>33</v>
      </c>
      <c r="K323" s="9">
        <v>28.09</v>
      </c>
      <c r="L323" s="2">
        <v>7</v>
      </c>
      <c r="M323" s="2">
        <v>14</v>
      </c>
      <c r="N323" s="2">
        <v>0.11</v>
      </c>
      <c r="P323" s="4">
        <f t="shared" ref="P323:P386" si="102">IF(D323*100+E323=L323*100+M323,1,0)</f>
        <v>1</v>
      </c>
    </row>
    <row r="324" spans="1:16" x14ac:dyDescent="0.25">
      <c r="A324" s="1" t="str">
        <f t="shared" si="100"/>
        <v>P65</v>
      </c>
      <c r="B324" s="1">
        <f t="shared" si="100"/>
        <v>65</v>
      </c>
      <c r="C324" s="1">
        <f t="shared" si="100"/>
        <v>435</v>
      </c>
      <c r="D324" s="1">
        <f t="shared" si="100"/>
        <v>6</v>
      </c>
      <c r="E324" s="1">
        <f t="shared" si="100"/>
        <v>12</v>
      </c>
      <c r="F324" s="2">
        <f t="shared" si="101"/>
        <v>6</v>
      </c>
      <c r="H324" s="9" t="s">
        <v>92</v>
      </c>
      <c r="I324" s="9" t="s">
        <v>60</v>
      </c>
      <c r="J324" s="9" t="s">
        <v>33</v>
      </c>
      <c r="K324" s="9">
        <v>24.05</v>
      </c>
      <c r="L324" s="2">
        <v>6</v>
      </c>
      <c r="M324" s="2">
        <v>12</v>
      </c>
      <c r="N324" s="2">
        <v>1.23</v>
      </c>
      <c r="P324" s="4">
        <f t="shared" si="102"/>
        <v>1</v>
      </c>
    </row>
    <row r="325" spans="1:16" x14ac:dyDescent="0.25">
      <c r="A325" s="1" t="str">
        <f t="shared" si="100"/>
        <v>P65</v>
      </c>
      <c r="B325" s="1">
        <f t="shared" si="100"/>
        <v>65</v>
      </c>
      <c r="C325" s="1">
        <f t="shared" si="100"/>
        <v>490</v>
      </c>
      <c r="D325" s="1">
        <f t="shared" si="100"/>
        <v>6</v>
      </c>
      <c r="E325" s="1">
        <f t="shared" si="100"/>
        <v>11</v>
      </c>
      <c r="F325" s="2">
        <f t="shared" si="101"/>
        <v>6</v>
      </c>
      <c r="H325" s="9" t="s">
        <v>92</v>
      </c>
      <c r="I325" s="9" t="s">
        <v>61</v>
      </c>
      <c r="J325" s="9" t="s">
        <v>33</v>
      </c>
      <c r="K325" s="9">
        <v>23.22</v>
      </c>
      <c r="L325" s="2">
        <v>6</v>
      </c>
      <c r="M325" s="2">
        <v>11</v>
      </c>
      <c r="N325" s="2">
        <v>0.01</v>
      </c>
      <c r="P325" s="4">
        <f t="shared" si="102"/>
        <v>1</v>
      </c>
    </row>
    <row r="326" spans="1:16" x14ac:dyDescent="0.25">
      <c r="A326" s="1" t="str">
        <f t="shared" si="100"/>
        <v>P65</v>
      </c>
      <c r="B326" s="1">
        <f t="shared" si="100"/>
        <v>65</v>
      </c>
      <c r="C326" s="1">
        <f t="shared" si="100"/>
        <v>512</v>
      </c>
      <c r="D326" s="1">
        <f t="shared" si="100"/>
        <v>5</v>
      </c>
      <c r="E326" s="1">
        <f t="shared" si="100"/>
        <v>10</v>
      </c>
      <c r="F326" s="2">
        <f t="shared" si="101"/>
        <v>6</v>
      </c>
      <c r="H326" s="9" t="s">
        <v>92</v>
      </c>
      <c r="I326" s="9" t="s">
        <v>62</v>
      </c>
      <c r="J326" s="9" t="s">
        <v>33</v>
      </c>
      <c r="K326" s="9">
        <v>23.19</v>
      </c>
      <c r="L326" s="2">
        <v>6</v>
      </c>
      <c r="M326" s="2">
        <v>11</v>
      </c>
      <c r="N326" s="2">
        <v>300</v>
      </c>
      <c r="P326" s="4">
        <f t="shared" si="102"/>
        <v>0</v>
      </c>
    </row>
    <row r="327" spans="1:16" x14ac:dyDescent="0.25">
      <c r="A327" s="1" t="str">
        <f t="shared" si="100"/>
        <v>P65</v>
      </c>
      <c r="B327" s="1">
        <f t="shared" si="100"/>
        <v>65</v>
      </c>
      <c r="C327" s="1">
        <f t="shared" si="100"/>
        <v>544</v>
      </c>
      <c r="D327" s="1">
        <f t="shared" si="100"/>
        <v>5</v>
      </c>
      <c r="E327" s="1">
        <f t="shared" si="100"/>
        <v>10</v>
      </c>
      <c r="F327" s="2">
        <f t="shared" si="101"/>
        <v>6</v>
      </c>
      <c r="H327" s="9" t="s">
        <v>92</v>
      </c>
      <c r="I327" s="9" t="s">
        <v>63</v>
      </c>
      <c r="J327" s="9" t="s">
        <v>33</v>
      </c>
      <c r="K327" s="9">
        <v>20.12</v>
      </c>
      <c r="L327" s="2">
        <v>5</v>
      </c>
      <c r="M327" s="2">
        <v>10</v>
      </c>
      <c r="N327" s="2">
        <v>0.03</v>
      </c>
      <c r="P327" s="4">
        <f t="shared" si="102"/>
        <v>1</v>
      </c>
    </row>
    <row r="328" spans="1:16" x14ac:dyDescent="0.25">
      <c r="A328" s="1" t="str">
        <f t="shared" si="100"/>
        <v>P148</v>
      </c>
      <c r="B328" s="1">
        <f t="shared" si="100"/>
        <v>148</v>
      </c>
      <c r="C328" s="1">
        <f t="shared" si="100"/>
        <v>204</v>
      </c>
      <c r="D328" s="1">
        <f t="shared" si="100"/>
        <v>13</v>
      </c>
      <c r="E328" s="1">
        <f t="shared" si="100"/>
        <v>26</v>
      </c>
      <c r="F328" s="2">
        <f t="shared" si="101"/>
        <v>6</v>
      </c>
      <c r="H328" s="9" t="s">
        <v>92</v>
      </c>
      <c r="I328" s="9" t="s">
        <v>64</v>
      </c>
      <c r="J328" s="9" t="s">
        <v>33</v>
      </c>
      <c r="K328" s="9">
        <v>52.15</v>
      </c>
      <c r="L328" s="2">
        <v>13</v>
      </c>
      <c r="M328" s="2">
        <v>26</v>
      </c>
      <c r="N328" s="2">
        <v>0.08</v>
      </c>
      <c r="P328" s="4">
        <f t="shared" si="102"/>
        <v>1</v>
      </c>
    </row>
    <row r="329" spans="1:16" x14ac:dyDescent="0.25">
      <c r="A329" s="1" t="str">
        <f t="shared" si="100"/>
        <v>P148</v>
      </c>
      <c r="B329" s="1">
        <f t="shared" si="100"/>
        <v>148</v>
      </c>
      <c r="C329" s="1">
        <f t="shared" si="100"/>
        <v>228</v>
      </c>
      <c r="D329" s="1">
        <f t="shared" si="100"/>
        <v>12</v>
      </c>
      <c r="E329" s="1">
        <f t="shared" si="100"/>
        <v>23</v>
      </c>
      <c r="F329" s="2">
        <f t="shared" si="101"/>
        <v>6</v>
      </c>
      <c r="H329" s="9" t="s">
        <v>92</v>
      </c>
      <c r="I329" s="9" t="s">
        <v>65</v>
      </c>
      <c r="J329" s="9" t="s">
        <v>33</v>
      </c>
      <c r="K329" s="9">
        <v>48.2</v>
      </c>
      <c r="L329" s="2">
        <v>12</v>
      </c>
      <c r="M329" s="2">
        <v>24</v>
      </c>
      <c r="N329" s="2">
        <v>300.04000000000002</v>
      </c>
      <c r="P329" s="4">
        <f t="shared" si="102"/>
        <v>0</v>
      </c>
    </row>
    <row r="330" spans="1:16" x14ac:dyDescent="0.25">
      <c r="A330" s="1" t="str">
        <f t="shared" si="100"/>
        <v>P148</v>
      </c>
      <c r="B330" s="1">
        <f t="shared" si="100"/>
        <v>148</v>
      </c>
      <c r="C330" s="1">
        <f t="shared" si="100"/>
        <v>255</v>
      </c>
      <c r="D330" s="1">
        <f t="shared" si="100"/>
        <v>11</v>
      </c>
      <c r="E330" s="1">
        <f t="shared" si="100"/>
        <v>21</v>
      </c>
      <c r="F330" s="2">
        <f t="shared" si="101"/>
        <v>6</v>
      </c>
      <c r="H330" s="9" t="s">
        <v>92</v>
      </c>
      <c r="I330" s="9" t="s">
        <v>66</v>
      </c>
      <c r="J330" s="9" t="s">
        <v>33</v>
      </c>
      <c r="K330" s="9">
        <v>43.2</v>
      </c>
      <c r="L330" s="2">
        <v>11</v>
      </c>
      <c r="M330" s="2">
        <v>21</v>
      </c>
      <c r="N330" s="2">
        <v>0.04</v>
      </c>
      <c r="P330" s="4">
        <f t="shared" si="102"/>
        <v>1</v>
      </c>
    </row>
    <row r="331" spans="1:16" x14ac:dyDescent="0.25">
      <c r="A331" s="1" t="str">
        <f t="shared" si="100"/>
        <v>P148</v>
      </c>
      <c r="B331" s="1">
        <f t="shared" si="100"/>
        <v>148</v>
      </c>
      <c r="C331" s="1">
        <f t="shared" si="100"/>
        <v>306</v>
      </c>
      <c r="D331" s="1">
        <f t="shared" si="100"/>
        <v>9</v>
      </c>
      <c r="E331" s="1">
        <f t="shared" si="100"/>
        <v>17</v>
      </c>
      <c r="F331" s="2">
        <f t="shared" si="101"/>
        <v>6</v>
      </c>
      <c r="H331" s="9" t="s">
        <v>92</v>
      </c>
      <c r="I331" s="9" t="s">
        <v>67</v>
      </c>
      <c r="J331" s="9" t="s">
        <v>33</v>
      </c>
      <c r="K331" s="9">
        <v>35.11</v>
      </c>
      <c r="L331" s="2">
        <v>9</v>
      </c>
      <c r="M331" s="2">
        <v>17</v>
      </c>
      <c r="N331" s="2">
        <v>2.65</v>
      </c>
      <c r="P331" s="4">
        <f t="shared" si="102"/>
        <v>1</v>
      </c>
    </row>
    <row r="332" spans="1:16" x14ac:dyDescent="0.25">
      <c r="A332" s="1" t="str">
        <f t="shared" si="100"/>
        <v>P148</v>
      </c>
      <c r="B332" s="1">
        <f t="shared" si="100"/>
        <v>148</v>
      </c>
      <c r="C332" s="1">
        <f t="shared" si="100"/>
        <v>357</v>
      </c>
      <c r="D332" s="1">
        <f t="shared" si="100"/>
        <v>8</v>
      </c>
      <c r="E332" s="1">
        <f t="shared" si="100"/>
        <v>15</v>
      </c>
      <c r="F332" s="2">
        <f t="shared" si="101"/>
        <v>6</v>
      </c>
      <c r="H332" s="9" t="s">
        <v>92</v>
      </c>
      <c r="I332" s="9" t="s">
        <v>68</v>
      </c>
      <c r="J332" s="9" t="s">
        <v>33</v>
      </c>
      <c r="K332" s="9">
        <v>31.21</v>
      </c>
      <c r="L332" s="2">
        <v>8</v>
      </c>
      <c r="M332" s="2">
        <v>15</v>
      </c>
      <c r="N332" s="2">
        <v>0.04</v>
      </c>
      <c r="P332" s="4">
        <f t="shared" si="102"/>
        <v>1</v>
      </c>
    </row>
    <row r="333" spans="1:16" x14ac:dyDescent="0.25">
      <c r="A333" s="1" t="str">
        <f t="shared" ref="A333:E348" si="103">A274</f>
        <v>P148</v>
      </c>
      <c r="B333" s="1">
        <f t="shared" si="103"/>
        <v>148</v>
      </c>
      <c r="C333" s="1">
        <f t="shared" si="103"/>
        <v>378</v>
      </c>
      <c r="D333" s="1">
        <f t="shared" si="103"/>
        <v>7</v>
      </c>
      <c r="E333" s="1">
        <f t="shared" si="103"/>
        <v>14</v>
      </c>
      <c r="F333" s="2">
        <f t="shared" si="101"/>
        <v>6</v>
      </c>
      <c r="H333" s="9" t="s">
        <v>92</v>
      </c>
      <c r="I333" s="9" t="s">
        <v>69</v>
      </c>
      <c r="J333" s="9" t="s">
        <v>33</v>
      </c>
      <c r="K333" s="9">
        <v>28.09</v>
      </c>
      <c r="L333" s="2">
        <v>7</v>
      </c>
      <c r="M333" s="2">
        <v>14</v>
      </c>
      <c r="N333" s="2">
        <v>1.93</v>
      </c>
      <c r="P333" s="4">
        <f t="shared" si="102"/>
        <v>1</v>
      </c>
    </row>
    <row r="334" spans="1:16" x14ac:dyDescent="0.25">
      <c r="A334" s="1" t="str">
        <f t="shared" si="103"/>
        <v>P148</v>
      </c>
      <c r="B334" s="1">
        <f t="shared" si="103"/>
        <v>148</v>
      </c>
      <c r="C334" s="1">
        <f t="shared" si="103"/>
        <v>408</v>
      </c>
      <c r="D334" s="1">
        <f t="shared" si="103"/>
        <v>7</v>
      </c>
      <c r="E334" s="1">
        <f t="shared" si="103"/>
        <v>13</v>
      </c>
      <c r="F334" s="2">
        <f t="shared" si="101"/>
        <v>6</v>
      </c>
      <c r="H334" s="9" t="s">
        <v>92</v>
      </c>
      <c r="I334" s="9" t="s">
        <v>70</v>
      </c>
      <c r="J334" s="9" t="s">
        <v>33</v>
      </c>
      <c r="K334" s="9">
        <v>27.18</v>
      </c>
      <c r="L334" s="2">
        <v>7</v>
      </c>
      <c r="M334" s="2">
        <v>13</v>
      </c>
      <c r="N334" s="2">
        <v>0.15</v>
      </c>
      <c r="P334" s="4">
        <f t="shared" si="102"/>
        <v>1</v>
      </c>
    </row>
    <row r="335" spans="1:16" x14ac:dyDescent="0.25">
      <c r="A335" s="1" t="str">
        <f t="shared" si="103"/>
        <v>P148</v>
      </c>
      <c r="B335" s="1">
        <f t="shared" si="103"/>
        <v>148</v>
      </c>
      <c r="C335" s="1">
        <f t="shared" si="103"/>
        <v>454</v>
      </c>
      <c r="D335" s="1">
        <f t="shared" si="103"/>
        <v>6</v>
      </c>
      <c r="E335" s="1">
        <f t="shared" si="103"/>
        <v>12</v>
      </c>
      <c r="F335" s="2">
        <f t="shared" si="101"/>
        <v>6</v>
      </c>
      <c r="H335" s="9" t="s">
        <v>92</v>
      </c>
      <c r="I335" s="9" t="s">
        <v>71</v>
      </c>
      <c r="J335" s="9" t="s">
        <v>33</v>
      </c>
      <c r="K335" s="9">
        <v>24.14</v>
      </c>
      <c r="L335" s="2">
        <v>6</v>
      </c>
      <c r="M335" s="2">
        <v>12</v>
      </c>
      <c r="N335" s="2">
        <v>5.22</v>
      </c>
      <c r="P335" s="4">
        <f t="shared" si="102"/>
        <v>1</v>
      </c>
    </row>
    <row r="336" spans="1:16" x14ac:dyDescent="0.25">
      <c r="A336" s="1" t="str">
        <f t="shared" si="103"/>
        <v>P148</v>
      </c>
      <c r="B336" s="1">
        <f t="shared" si="103"/>
        <v>148</v>
      </c>
      <c r="C336" s="1">
        <f t="shared" si="103"/>
        <v>459</v>
      </c>
      <c r="D336" s="1">
        <f t="shared" si="103"/>
        <v>6</v>
      </c>
      <c r="E336" s="1">
        <f t="shared" si="103"/>
        <v>12</v>
      </c>
      <c r="F336" s="2">
        <f t="shared" si="101"/>
        <v>6</v>
      </c>
      <c r="H336" s="9" t="s">
        <v>92</v>
      </c>
      <c r="I336" s="9" t="s">
        <v>72</v>
      </c>
      <c r="J336" s="9" t="s">
        <v>33</v>
      </c>
      <c r="K336" s="9">
        <v>24.17</v>
      </c>
      <c r="L336" s="2">
        <v>6</v>
      </c>
      <c r="M336" s="2">
        <v>12</v>
      </c>
      <c r="N336" s="2">
        <v>0.04</v>
      </c>
      <c r="P336" s="4">
        <f t="shared" si="102"/>
        <v>1</v>
      </c>
    </row>
    <row r="337" spans="1:16" x14ac:dyDescent="0.25">
      <c r="A337" s="1" t="str">
        <f t="shared" si="103"/>
        <v>P148</v>
      </c>
      <c r="B337" s="1">
        <f t="shared" si="103"/>
        <v>148</v>
      </c>
      <c r="C337" s="1">
        <f t="shared" si="103"/>
        <v>510</v>
      </c>
      <c r="D337" s="1">
        <f t="shared" si="103"/>
        <v>6</v>
      </c>
      <c r="E337" s="1">
        <f t="shared" si="103"/>
        <v>11</v>
      </c>
      <c r="F337" s="2">
        <f t="shared" si="101"/>
        <v>6</v>
      </c>
      <c r="H337" s="9" t="s">
        <v>92</v>
      </c>
      <c r="I337" s="9" t="s">
        <v>73</v>
      </c>
      <c r="J337" s="9" t="s">
        <v>33</v>
      </c>
      <c r="K337" s="9">
        <v>23.23</v>
      </c>
      <c r="L337" s="2">
        <v>6</v>
      </c>
      <c r="M337" s="2">
        <v>11</v>
      </c>
      <c r="N337" s="2">
        <v>0.03</v>
      </c>
      <c r="P337" s="4">
        <f t="shared" si="102"/>
        <v>1</v>
      </c>
    </row>
    <row r="338" spans="1:16" x14ac:dyDescent="0.25">
      <c r="A338" s="1" t="str">
        <f t="shared" si="103"/>
        <v>P205</v>
      </c>
      <c r="B338" s="1">
        <f t="shared" si="103"/>
        <v>205</v>
      </c>
      <c r="C338" s="1">
        <f t="shared" si="103"/>
        <v>1133</v>
      </c>
      <c r="D338" s="1">
        <f t="shared" si="103"/>
        <v>11</v>
      </c>
      <c r="E338" s="1">
        <f t="shared" si="103"/>
        <v>21</v>
      </c>
      <c r="F338" s="2">
        <f t="shared" si="101"/>
        <v>6</v>
      </c>
      <c r="H338" s="9" t="s">
        <v>92</v>
      </c>
      <c r="I338" s="9" t="s">
        <v>74</v>
      </c>
      <c r="J338" s="9" t="s">
        <v>33</v>
      </c>
      <c r="K338" s="9">
        <v>47.6</v>
      </c>
      <c r="L338" s="2">
        <v>12</v>
      </c>
      <c r="M338" s="2">
        <v>23</v>
      </c>
      <c r="N338" s="2">
        <v>300.01</v>
      </c>
      <c r="P338" s="4">
        <f t="shared" si="102"/>
        <v>0</v>
      </c>
    </row>
    <row r="339" spans="1:16" x14ac:dyDescent="0.25">
      <c r="A339" s="1" t="str">
        <f t="shared" si="103"/>
        <v>P205</v>
      </c>
      <c r="B339" s="1">
        <f t="shared" si="103"/>
        <v>205</v>
      </c>
      <c r="C339" s="1">
        <f t="shared" si="103"/>
        <v>1275</v>
      </c>
      <c r="D339" s="1">
        <f t="shared" si="103"/>
        <v>10</v>
      </c>
      <c r="E339" s="1">
        <f t="shared" si="103"/>
        <v>19</v>
      </c>
      <c r="F339" s="2">
        <f t="shared" si="101"/>
        <v>6</v>
      </c>
      <c r="H339" s="9" t="s">
        <v>92</v>
      </c>
      <c r="I339" s="9" t="s">
        <v>75</v>
      </c>
      <c r="J339" s="9" t="s">
        <v>33</v>
      </c>
      <c r="K339" s="9">
        <v>40.33</v>
      </c>
      <c r="L339" s="2">
        <v>10</v>
      </c>
      <c r="M339" s="2">
        <v>20</v>
      </c>
      <c r="N339" s="2">
        <v>300.04000000000002</v>
      </c>
      <c r="P339" s="4">
        <f t="shared" si="102"/>
        <v>0</v>
      </c>
    </row>
    <row r="340" spans="1:16" x14ac:dyDescent="0.25">
      <c r="A340" s="1" t="str">
        <f t="shared" si="103"/>
        <v>P205</v>
      </c>
      <c r="B340" s="1">
        <f t="shared" si="103"/>
        <v>205</v>
      </c>
      <c r="C340" s="1">
        <f t="shared" si="103"/>
        <v>1322</v>
      </c>
      <c r="D340" s="1">
        <f t="shared" si="103"/>
        <v>9</v>
      </c>
      <c r="E340" s="1">
        <f t="shared" si="103"/>
        <v>18</v>
      </c>
      <c r="F340" s="2">
        <f t="shared" si="101"/>
        <v>6</v>
      </c>
      <c r="H340" s="9" t="s">
        <v>92</v>
      </c>
      <c r="I340" s="9" t="s">
        <v>76</v>
      </c>
      <c r="J340" s="9" t="s">
        <v>33</v>
      </c>
      <c r="K340" s="9">
        <v>40.39</v>
      </c>
      <c r="L340" s="2">
        <v>10</v>
      </c>
      <c r="M340" s="2">
        <v>20</v>
      </c>
      <c r="N340" s="2">
        <v>300.04000000000002</v>
      </c>
      <c r="P340" s="4">
        <f t="shared" si="102"/>
        <v>0</v>
      </c>
    </row>
    <row r="341" spans="1:16" x14ac:dyDescent="0.25">
      <c r="A341" s="1" t="str">
        <f t="shared" si="103"/>
        <v>P205</v>
      </c>
      <c r="B341" s="1">
        <f t="shared" si="103"/>
        <v>205</v>
      </c>
      <c r="C341" s="1">
        <f t="shared" si="103"/>
        <v>1455</v>
      </c>
      <c r="D341" s="1">
        <f t="shared" si="103"/>
        <v>9</v>
      </c>
      <c r="E341" s="1">
        <f t="shared" si="103"/>
        <v>17</v>
      </c>
      <c r="F341" s="2">
        <f t="shared" si="101"/>
        <v>6</v>
      </c>
      <c r="H341" s="9" t="s">
        <v>92</v>
      </c>
      <c r="I341" s="9" t="s">
        <v>77</v>
      </c>
      <c r="J341" s="9" t="s">
        <v>33</v>
      </c>
      <c r="K341" s="9">
        <v>36.32</v>
      </c>
      <c r="L341" s="2">
        <v>9</v>
      </c>
      <c r="M341" s="2">
        <v>18</v>
      </c>
      <c r="N341" s="2">
        <v>300.04000000000002</v>
      </c>
      <c r="P341" s="4">
        <f t="shared" si="102"/>
        <v>0</v>
      </c>
    </row>
    <row r="342" spans="1:16" x14ac:dyDescent="0.25">
      <c r="A342" s="1" t="str">
        <f t="shared" si="103"/>
        <v>P205</v>
      </c>
      <c r="B342" s="1">
        <f t="shared" si="103"/>
        <v>205</v>
      </c>
      <c r="C342" s="1">
        <f t="shared" si="103"/>
        <v>1510</v>
      </c>
      <c r="D342" s="1">
        <f t="shared" si="103"/>
        <v>8</v>
      </c>
      <c r="E342" s="1">
        <f t="shared" si="103"/>
        <v>16</v>
      </c>
      <c r="F342" s="2">
        <f t="shared" si="101"/>
        <v>6</v>
      </c>
      <c r="H342" s="9" t="s">
        <v>92</v>
      </c>
      <c r="I342" s="9" t="s">
        <v>78</v>
      </c>
      <c r="J342" s="9" t="s">
        <v>33</v>
      </c>
      <c r="K342" s="9">
        <v>35.299999999999997</v>
      </c>
      <c r="L342" s="2">
        <v>9</v>
      </c>
      <c r="M342" s="2">
        <v>17</v>
      </c>
      <c r="N342" s="2">
        <v>300.02</v>
      </c>
      <c r="P342" s="4">
        <f t="shared" si="102"/>
        <v>0</v>
      </c>
    </row>
    <row r="343" spans="1:16" x14ac:dyDescent="0.25">
      <c r="A343" s="1" t="str">
        <f t="shared" si="103"/>
        <v>P205</v>
      </c>
      <c r="B343" s="1">
        <f t="shared" si="103"/>
        <v>205</v>
      </c>
      <c r="C343" s="1">
        <f t="shared" si="103"/>
        <v>1650</v>
      </c>
      <c r="D343" s="1">
        <f t="shared" si="103"/>
        <v>8</v>
      </c>
      <c r="E343" s="1">
        <f t="shared" si="103"/>
        <v>15</v>
      </c>
      <c r="F343" s="2">
        <f t="shared" si="101"/>
        <v>6</v>
      </c>
      <c r="H343" s="9" t="s">
        <v>92</v>
      </c>
      <c r="I343" s="9" t="s">
        <v>79</v>
      </c>
      <c r="J343" s="9" t="s">
        <v>33</v>
      </c>
      <c r="K343" s="9">
        <v>32.229999999999997</v>
      </c>
      <c r="L343" s="2">
        <v>8</v>
      </c>
      <c r="M343" s="2">
        <v>16</v>
      </c>
      <c r="N343" s="2">
        <v>300.02999999999997</v>
      </c>
      <c r="P343" s="4">
        <f t="shared" si="102"/>
        <v>0</v>
      </c>
    </row>
    <row r="344" spans="1:16" x14ac:dyDescent="0.25">
      <c r="A344" s="1" t="str">
        <f t="shared" si="103"/>
        <v>P205</v>
      </c>
      <c r="B344" s="1">
        <f t="shared" si="103"/>
        <v>205</v>
      </c>
      <c r="C344" s="1">
        <f t="shared" si="103"/>
        <v>1699</v>
      </c>
      <c r="D344" s="1">
        <f t="shared" si="103"/>
        <v>7</v>
      </c>
      <c r="E344" s="1">
        <f t="shared" si="103"/>
        <v>14</v>
      </c>
      <c r="F344" s="2">
        <f t="shared" si="101"/>
        <v>6</v>
      </c>
      <c r="H344" s="9" t="s">
        <v>92</v>
      </c>
      <c r="I344" s="9" t="s">
        <v>80</v>
      </c>
      <c r="J344" s="9" t="s">
        <v>33</v>
      </c>
      <c r="K344" s="9">
        <v>32.31</v>
      </c>
      <c r="L344" s="2">
        <v>8</v>
      </c>
      <c r="M344" s="2">
        <v>16</v>
      </c>
      <c r="N344" s="2">
        <v>300.02999999999997</v>
      </c>
      <c r="P344" s="4">
        <f t="shared" si="102"/>
        <v>0</v>
      </c>
    </row>
    <row r="345" spans="1:16" x14ac:dyDescent="0.25">
      <c r="A345" s="1" t="str">
        <f t="shared" si="103"/>
        <v>P205</v>
      </c>
      <c r="B345" s="1">
        <f t="shared" si="103"/>
        <v>205</v>
      </c>
      <c r="C345" s="1">
        <f t="shared" si="103"/>
        <v>1888</v>
      </c>
      <c r="D345" s="1">
        <f t="shared" si="103"/>
        <v>7</v>
      </c>
      <c r="E345" s="1">
        <f t="shared" si="103"/>
        <v>13</v>
      </c>
      <c r="F345" s="2">
        <f t="shared" si="101"/>
        <v>6</v>
      </c>
      <c r="H345" s="9" t="s">
        <v>92</v>
      </c>
      <c r="I345" s="9" t="s">
        <v>81</v>
      </c>
      <c r="J345" s="9" t="s">
        <v>33</v>
      </c>
      <c r="K345" s="9">
        <v>31.51</v>
      </c>
      <c r="L345" s="2">
        <v>8</v>
      </c>
      <c r="M345" s="2">
        <v>15</v>
      </c>
      <c r="N345" s="2">
        <v>300.02999999999997</v>
      </c>
      <c r="P345" s="4">
        <f t="shared" si="102"/>
        <v>0</v>
      </c>
    </row>
    <row r="346" spans="1:16" x14ac:dyDescent="0.25">
      <c r="A346" s="1" t="str">
        <f t="shared" si="103"/>
        <v>P205</v>
      </c>
      <c r="B346" s="1">
        <f t="shared" si="103"/>
        <v>205</v>
      </c>
      <c r="C346" s="1">
        <f t="shared" si="103"/>
        <v>1920</v>
      </c>
      <c r="D346" s="1">
        <f t="shared" si="103"/>
        <v>7</v>
      </c>
      <c r="E346" s="1">
        <f t="shared" si="103"/>
        <v>13</v>
      </c>
      <c r="F346" s="2">
        <f t="shared" si="101"/>
        <v>6</v>
      </c>
      <c r="H346" s="9" t="s">
        <v>92</v>
      </c>
      <c r="I346" s="9" t="s">
        <v>82</v>
      </c>
      <c r="J346" s="9" t="s">
        <v>33</v>
      </c>
      <c r="K346" s="9">
        <v>28.24</v>
      </c>
      <c r="L346" s="2">
        <v>7</v>
      </c>
      <c r="M346" s="2">
        <v>14</v>
      </c>
      <c r="N346" s="2">
        <v>300</v>
      </c>
      <c r="P346" s="4">
        <f t="shared" si="102"/>
        <v>0</v>
      </c>
    </row>
    <row r="347" spans="1:16" x14ac:dyDescent="0.25">
      <c r="A347" s="1" t="str">
        <f t="shared" si="103"/>
        <v>P205</v>
      </c>
      <c r="B347" s="1">
        <f t="shared" si="103"/>
        <v>205</v>
      </c>
      <c r="C347" s="1">
        <f t="shared" si="103"/>
        <v>2077</v>
      </c>
      <c r="D347" s="1">
        <f t="shared" si="103"/>
        <v>6</v>
      </c>
      <c r="E347" s="1">
        <f t="shared" si="103"/>
        <v>12</v>
      </c>
      <c r="F347" s="2">
        <f t="shared" si="101"/>
        <v>6</v>
      </c>
      <c r="H347" s="9" t="s">
        <v>92</v>
      </c>
      <c r="I347" s="9" t="s">
        <v>83</v>
      </c>
      <c r="J347" s="9" t="s">
        <v>33</v>
      </c>
      <c r="K347" s="9">
        <v>27.42</v>
      </c>
      <c r="L347" s="2">
        <v>7</v>
      </c>
      <c r="M347" s="2">
        <v>13</v>
      </c>
      <c r="N347" s="2">
        <v>300</v>
      </c>
      <c r="P347" s="4">
        <f t="shared" si="102"/>
        <v>0</v>
      </c>
    </row>
    <row r="348" spans="1:16" x14ac:dyDescent="0.25">
      <c r="A348" s="1" t="str">
        <f t="shared" si="103"/>
        <v>P205</v>
      </c>
      <c r="B348" s="1">
        <f t="shared" si="103"/>
        <v>205</v>
      </c>
      <c r="C348" s="1">
        <f t="shared" si="103"/>
        <v>2100</v>
      </c>
      <c r="D348" s="1">
        <f t="shared" si="103"/>
        <v>6</v>
      </c>
      <c r="E348" s="1">
        <f t="shared" si="103"/>
        <v>12</v>
      </c>
      <c r="F348" s="2">
        <f t="shared" si="101"/>
        <v>6</v>
      </c>
      <c r="H348" s="9" t="s">
        <v>92</v>
      </c>
      <c r="I348" s="9" t="s">
        <v>84</v>
      </c>
      <c r="J348" s="9" t="s">
        <v>33</v>
      </c>
      <c r="K348" s="9">
        <v>28.39</v>
      </c>
      <c r="L348" s="2">
        <v>7</v>
      </c>
      <c r="M348" s="2">
        <v>14</v>
      </c>
      <c r="N348" s="2">
        <v>300.05</v>
      </c>
      <c r="P348" s="4">
        <f t="shared" si="102"/>
        <v>0</v>
      </c>
    </row>
    <row r="349" spans="1:16" x14ac:dyDescent="0.25">
      <c r="A349" s="1" t="str">
        <f t="shared" ref="A349:E364" si="104">A290</f>
        <v>P205</v>
      </c>
      <c r="B349" s="1">
        <f t="shared" si="104"/>
        <v>205</v>
      </c>
      <c r="C349" s="1">
        <f t="shared" si="104"/>
        <v>2266</v>
      </c>
      <c r="D349" s="1">
        <f t="shared" si="104"/>
        <v>6</v>
      </c>
      <c r="E349" s="1">
        <f t="shared" si="104"/>
        <v>11</v>
      </c>
      <c r="F349" s="2">
        <f t="shared" si="101"/>
        <v>6</v>
      </c>
      <c r="H349" s="9" t="s">
        <v>92</v>
      </c>
      <c r="I349" s="9" t="s">
        <v>85</v>
      </c>
      <c r="J349" s="9" t="s">
        <v>33</v>
      </c>
      <c r="K349" s="9">
        <v>24.28</v>
      </c>
      <c r="L349" s="2">
        <v>6</v>
      </c>
      <c r="M349" s="2">
        <v>12</v>
      </c>
      <c r="N349" s="2">
        <v>300.05</v>
      </c>
      <c r="P349" s="4">
        <f t="shared" si="102"/>
        <v>0</v>
      </c>
    </row>
    <row r="350" spans="1:16" x14ac:dyDescent="0.25">
      <c r="A350" s="1" t="str">
        <f t="shared" si="104"/>
        <v>P205</v>
      </c>
      <c r="B350" s="1">
        <f t="shared" si="104"/>
        <v>205</v>
      </c>
      <c r="C350" s="1">
        <f t="shared" si="104"/>
        <v>2300</v>
      </c>
      <c r="D350" s="1">
        <f t="shared" si="104"/>
        <v>6</v>
      </c>
      <c r="E350" s="1">
        <f t="shared" si="104"/>
        <v>11</v>
      </c>
      <c r="F350" s="2">
        <f t="shared" si="101"/>
        <v>6</v>
      </c>
      <c r="H350" s="9" t="s">
        <v>92</v>
      </c>
      <c r="I350" s="9" t="s">
        <v>86</v>
      </c>
      <c r="J350" s="9" t="s">
        <v>33</v>
      </c>
      <c r="K350" s="9">
        <v>24.3</v>
      </c>
      <c r="L350" s="2">
        <v>6</v>
      </c>
      <c r="M350" s="2">
        <v>12</v>
      </c>
      <c r="N350" s="2">
        <v>300.02999999999997</v>
      </c>
      <c r="P350" s="4">
        <f t="shared" si="102"/>
        <v>0</v>
      </c>
    </row>
    <row r="351" spans="1:16" x14ac:dyDescent="0.25">
      <c r="A351" s="1" t="str">
        <f t="shared" si="104"/>
        <v>P205</v>
      </c>
      <c r="B351" s="1">
        <f t="shared" si="104"/>
        <v>205</v>
      </c>
      <c r="C351" s="1">
        <f t="shared" si="104"/>
        <v>2454</v>
      </c>
      <c r="D351" s="1">
        <f t="shared" si="104"/>
        <v>5</v>
      </c>
      <c r="E351" s="1">
        <f t="shared" si="104"/>
        <v>10</v>
      </c>
      <c r="F351" s="2">
        <f t="shared" si="101"/>
        <v>6</v>
      </c>
      <c r="H351" s="9" t="s">
        <v>92</v>
      </c>
      <c r="I351" s="9" t="s">
        <v>87</v>
      </c>
      <c r="J351" s="9" t="s">
        <v>33</v>
      </c>
      <c r="K351" s="9">
        <v>24.38</v>
      </c>
      <c r="L351" s="2">
        <v>6</v>
      </c>
      <c r="M351" s="2">
        <v>12</v>
      </c>
      <c r="N351" s="2">
        <v>300.02999999999997</v>
      </c>
      <c r="P351" s="4">
        <f t="shared" si="102"/>
        <v>0</v>
      </c>
    </row>
    <row r="352" spans="1:16" x14ac:dyDescent="0.25">
      <c r="A352" s="1" t="str">
        <f t="shared" si="104"/>
        <v>P205</v>
      </c>
      <c r="B352" s="1">
        <f t="shared" si="104"/>
        <v>205</v>
      </c>
      <c r="C352" s="1">
        <f t="shared" si="104"/>
        <v>2500</v>
      </c>
      <c r="D352" s="1">
        <f t="shared" si="104"/>
        <v>5</v>
      </c>
      <c r="E352" s="1">
        <f t="shared" si="104"/>
        <v>10</v>
      </c>
      <c r="F352" s="2">
        <f t="shared" si="101"/>
        <v>6</v>
      </c>
      <c r="H352" s="9" t="s">
        <v>92</v>
      </c>
      <c r="I352" s="9" t="s">
        <v>88</v>
      </c>
      <c r="J352" s="9" t="s">
        <v>33</v>
      </c>
      <c r="K352" s="9">
        <v>23.79</v>
      </c>
      <c r="L352" s="2">
        <v>6</v>
      </c>
      <c r="M352" s="2">
        <v>11</v>
      </c>
      <c r="N352" s="2">
        <v>300.02</v>
      </c>
      <c r="P352" s="4">
        <f t="shared" si="102"/>
        <v>0</v>
      </c>
    </row>
    <row r="353" spans="1:16" x14ac:dyDescent="0.25">
      <c r="A353" s="1" t="str">
        <f t="shared" si="104"/>
        <v>P205</v>
      </c>
      <c r="B353" s="1">
        <f t="shared" si="104"/>
        <v>205</v>
      </c>
      <c r="C353" s="1">
        <f t="shared" si="104"/>
        <v>2643</v>
      </c>
      <c r="D353" s="1">
        <f t="shared" si="104"/>
        <v>5</v>
      </c>
      <c r="E353" s="1">
        <f t="shared" si="104"/>
        <v>9</v>
      </c>
      <c r="F353" s="2">
        <f t="shared" si="101"/>
        <v>6</v>
      </c>
      <c r="H353" s="9" t="s">
        <v>92</v>
      </c>
      <c r="I353" s="9" t="s">
        <v>89</v>
      </c>
      <c r="J353" s="9" t="s">
        <v>33</v>
      </c>
      <c r="K353" s="9">
        <v>23.96</v>
      </c>
      <c r="L353" s="2">
        <v>6</v>
      </c>
      <c r="M353" s="2">
        <v>11</v>
      </c>
      <c r="N353" s="2">
        <v>300.04000000000002</v>
      </c>
      <c r="P353" s="4">
        <f t="shared" si="102"/>
        <v>0</v>
      </c>
    </row>
    <row r="354" spans="1:16" x14ac:dyDescent="0.25">
      <c r="A354" s="1" t="str">
        <f t="shared" si="104"/>
        <v>P205</v>
      </c>
      <c r="B354" s="1">
        <f t="shared" si="104"/>
        <v>205</v>
      </c>
      <c r="C354" s="1">
        <f t="shared" si="104"/>
        <v>2800</v>
      </c>
      <c r="D354" s="1">
        <f t="shared" si="104"/>
        <v>5</v>
      </c>
      <c r="E354" s="1">
        <f t="shared" si="104"/>
        <v>9</v>
      </c>
      <c r="F354" s="2">
        <f t="shared" si="101"/>
        <v>6</v>
      </c>
      <c r="H354" s="9" t="s">
        <v>92</v>
      </c>
      <c r="I354" s="9" t="s">
        <v>90</v>
      </c>
      <c r="J354" s="9" t="s">
        <v>33</v>
      </c>
      <c r="K354" s="9">
        <v>20.43</v>
      </c>
      <c r="L354" s="2">
        <v>5</v>
      </c>
      <c r="M354" s="2">
        <v>10</v>
      </c>
      <c r="N354" s="2">
        <v>300.04000000000002</v>
      </c>
      <c r="P354" s="4">
        <f t="shared" si="102"/>
        <v>0</v>
      </c>
    </row>
    <row r="355" spans="1:16" x14ac:dyDescent="0.25">
      <c r="A355" s="1" t="str">
        <f t="shared" si="104"/>
        <v>P205</v>
      </c>
      <c r="B355" s="1">
        <f t="shared" si="104"/>
        <v>205</v>
      </c>
      <c r="C355" s="1">
        <f t="shared" si="104"/>
        <v>2832</v>
      </c>
      <c r="D355" s="1">
        <f t="shared" si="104"/>
        <v>5</v>
      </c>
      <c r="E355" s="1">
        <f t="shared" si="104"/>
        <v>9</v>
      </c>
      <c r="F355" s="2">
        <f t="shared" si="101"/>
        <v>6</v>
      </c>
      <c r="H355" s="9" t="s">
        <v>92</v>
      </c>
      <c r="I355" s="9" t="s">
        <v>91</v>
      </c>
      <c r="J355" s="9" t="s">
        <v>33</v>
      </c>
      <c r="K355" s="9">
        <v>20.350000000000001</v>
      </c>
      <c r="L355" s="2">
        <v>5</v>
      </c>
      <c r="M355" s="2">
        <v>10</v>
      </c>
      <c r="N355" s="2">
        <v>300.05</v>
      </c>
      <c r="P355" s="4">
        <f t="shared" si="102"/>
        <v>0</v>
      </c>
    </row>
    <row r="356" spans="1:16" x14ac:dyDescent="0.25">
      <c r="A356" s="1" t="str">
        <f t="shared" si="104"/>
        <v>P9</v>
      </c>
      <c r="B356" s="1">
        <f t="shared" si="104"/>
        <v>9</v>
      </c>
      <c r="C356" s="1">
        <f t="shared" si="104"/>
        <v>3</v>
      </c>
      <c r="D356" s="1">
        <f t="shared" si="104"/>
        <v>3</v>
      </c>
      <c r="E356" s="1">
        <f t="shared" si="104"/>
        <v>6</v>
      </c>
      <c r="F356" s="2">
        <f t="shared" si="101"/>
        <v>7</v>
      </c>
      <c r="H356" s="9" t="s">
        <v>92</v>
      </c>
      <c r="I356" s="9" t="s">
        <v>32</v>
      </c>
      <c r="J356" s="9" t="s">
        <v>33</v>
      </c>
      <c r="K356" s="9">
        <v>12.17</v>
      </c>
      <c r="L356" s="2">
        <v>3</v>
      </c>
      <c r="M356" s="2">
        <v>6</v>
      </c>
      <c r="N356" s="2">
        <v>0</v>
      </c>
      <c r="P356" s="4">
        <f t="shared" si="102"/>
        <v>1</v>
      </c>
    </row>
    <row r="357" spans="1:16" x14ac:dyDescent="0.25">
      <c r="A357" s="1" t="str">
        <f t="shared" si="104"/>
        <v>P9</v>
      </c>
      <c r="B357" s="1">
        <f t="shared" si="104"/>
        <v>9</v>
      </c>
      <c r="C357" s="1">
        <f t="shared" si="104"/>
        <v>4</v>
      </c>
      <c r="D357" s="1">
        <f t="shared" si="104"/>
        <v>3</v>
      </c>
      <c r="E357" s="1">
        <f t="shared" si="104"/>
        <v>5</v>
      </c>
      <c r="F357" s="2">
        <f t="shared" si="101"/>
        <v>7</v>
      </c>
      <c r="H357" s="9" t="s">
        <v>92</v>
      </c>
      <c r="I357" s="9" t="s">
        <v>34</v>
      </c>
      <c r="J357" s="9" t="s">
        <v>33</v>
      </c>
      <c r="K357" s="9">
        <v>11.42</v>
      </c>
      <c r="L357" s="2">
        <v>3</v>
      </c>
      <c r="M357" s="2">
        <v>5</v>
      </c>
      <c r="N357" s="2">
        <v>0</v>
      </c>
      <c r="P357" s="4">
        <f t="shared" si="102"/>
        <v>1</v>
      </c>
    </row>
    <row r="358" spans="1:16" x14ac:dyDescent="0.25">
      <c r="A358" s="1" t="str">
        <f t="shared" si="104"/>
        <v>P9</v>
      </c>
      <c r="B358" s="1">
        <f t="shared" si="104"/>
        <v>9</v>
      </c>
      <c r="C358" s="1">
        <f t="shared" si="104"/>
        <v>5</v>
      </c>
      <c r="D358" s="1">
        <f t="shared" si="104"/>
        <v>2</v>
      </c>
      <c r="E358" s="1">
        <f t="shared" si="104"/>
        <v>4</v>
      </c>
      <c r="F358" s="2">
        <f t="shared" si="101"/>
        <v>7</v>
      </c>
      <c r="H358" s="9" t="s">
        <v>92</v>
      </c>
      <c r="I358" s="9" t="s">
        <v>35</v>
      </c>
      <c r="J358" s="9" t="s">
        <v>33</v>
      </c>
      <c r="K358" s="9">
        <v>8.15</v>
      </c>
      <c r="L358" s="2">
        <v>2</v>
      </c>
      <c r="M358" s="2">
        <v>4</v>
      </c>
      <c r="N358" s="2">
        <v>0</v>
      </c>
      <c r="P358" s="4">
        <f t="shared" si="102"/>
        <v>1</v>
      </c>
    </row>
    <row r="359" spans="1:16" x14ac:dyDescent="0.25">
      <c r="A359" s="1" t="str">
        <f t="shared" si="104"/>
        <v>P9</v>
      </c>
      <c r="B359" s="1">
        <f t="shared" si="104"/>
        <v>9</v>
      </c>
      <c r="C359" s="1">
        <f t="shared" si="104"/>
        <v>6</v>
      </c>
      <c r="D359" s="1">
        <f t="shared" si="104"/>
        <v>2</v>
      </c>
      <c r="E359" s="1">
        <f t="shared" si="104"/>
        <v>3</v>
      </c>
      <c r="F359" s="2">
        <f t="shared" si="101"/>
        <v>7</v>
      </c>
      <c r="H359" s="9" t="s">
        <v>92</v>
      </c>
      <c r="I359" s="9" t="s">
        <v>36</v>
      </c>
      <c r="J359" s="9" t="s">
        <v>33</v>
      </c>
      <c r="K359" s="9">
        <v>7.29</v>
      </c>
      <c r="L359" s="2">
        <v>2</v>
      </c>
      <c r="M359" s="2">
        <v>3</v>
      </c>
      <c r="N359" s="2">
        <v>0</v>
      </c>
      <c r="P359" s="4">
        <f t="shared" si="102"/>
        <v>1</v>
      </c>
    </row>
    <row r="360" spans="1:16" x14ac:dyDescent="0.25">
      <c r="A360" s="1" t="str">
        <f t="shared" si="104"/>
        <v>P9</v>
      </c>
      <c r="B360" s="1">
        <f t="shared" si="104"/>
        <v>9</v>
      </c>
      <c r="C360" s="1">
        <f t="shared" si="104"/>
        <v>7</v>
      </c>
      <c r="D360" s="1">
        <f t="shared" si="104"/>
        <v>2</v>
      </c>
      <c r="E360" s="1">
        <f t="shared" si="104"/>
        <v>3</v>
      </c>
      <c r="F360" s="2">
        <f t="shared" si="101"/>
        <v>7</v>
      </c>
      <c r="H360" s="9" t="s">
        <v>92</v>
      </c>
      <c r="I360" s="9" t="s">
        <v>37</v>
      </c>
      <c r="J360" s="9" t="s">
        <v>33</v>
      </c>
      <c r="K360" s="9">
        <v>7.39</v>
      </c>
      <c r="L360" s="2">
        <v>2</v>
      </c>
      <c r="M360" s="2">
        <v>3</v>
      </c>
      <c r="N360" s="2">
        <v>0</v>
      </c>
      <c r="P360" s="4">
        <f t="shared" si="102"/>
        <v>1</v>
      </c>
    </row>
    <row r="361" spans="1:16" x14ac:dyDescent="0.25">
      <c r="A361" s="1" t="str">
        <f t="shared" si="104"/>
        <v>P12</v>
      </c>
      <c r="B361" s="1">
        <f t="shared" si="104"/>
        <v>12</v>
      </c>
      <c r="C361" s="1">
        <f t="shared" si="104"/>
        <v>4</v>
      </c>
      <c r="D361" s="1">
        <f t="shared" si="104"/>
        <v>4</v>
      </c>
      <c r="E361" s="1">
        <f t="shared" si="104"/>
        <v>7</v>
      </c>
      <c r="F361" s="2">
        <f t="shared" si="101"/>
        <v>7</v>
      </c>
      <c r="H361" s="9" t="s">
        <v>92</v>
      </c>
      <c r="I361" s="9" t="s">
        <v>38</v>
      </c>
      <c r="J361" s="9" t="s">
        <v>33</v>
      </c>
      <c r="K361" s="9">
        <v>15.31</v>
      </c>
      <c r="L361" s="2">
        <v>4</v>
      </c>
      <c r="M361" s="2">
        <v>7</v>
      </c>
      <c r="N361" s="2">
        <v>0</v>
      </c>
      <c r="P361" s="4">
        <f t="shared" si="102"/>
        <v>1</v>
      </c>
    </row>
    <row r="362" spans="1:16" x14ac:dyDescent="0.25">
      <c r="A362" s="1" t="str">
        <f t="shared" si="104"/>
        <v>P12</v>
      </c>
      <c r="B362" s="1">
        <f t="shared" si="104"/>
        <v>12</v>
      </c>
      <c r="C362" s="1">
        <f t="shared" si="104"/>
        <v>5</v>
      </c>
      <c r="D362" s="1">
        <f t="shared" si="104"/>
        <v>3</v>
      </c>
      <c r="E362" s="1">
        <f t="shared" si="104"/>
        <v>6</v>
      </c>
      <c r="F362" s="2">
        <f t="shared" si="101"/>
        <v>7</v>
      </c>
      <c r="H362" s="9" t="s">
        <v>92</v>
      </c>
      <c r="I362" s="9" t="s">
        <v>39</v>
      </c>
      <c r="J362" s="9" t="s">
        <v>33</v>
      </c>
      <c r="K362" s="9">
        <v>12.23</v>
      </c>
      <c r="L362" s="2">
        <v>3</v>
      </c>
      <c r="M362" s="2">
        <v>6</v>
      </c>
      <c r="N362" s="2">
        <v>300</v>
      </c>
      <c r="P362" s="4">
        <f t="shared" si="102"/>
        <v>1</v>
      </c>
    </row>
    <row r="363" spans="1:16" x14ac:dyDescent="0.25">
      <c r="A363" s="1" t="str">
        <f t="shared" si="104"/>
        <v>P12</v>
      </c>
      <c r="B363" s="1">
        <f t="shared" si="104"/>
        <v>12</v>
      </c>
      <c r="C363" s="1">
        <f t="shared" si="104"/>
        <v>6</v>
      </c>
      <c r="D363" s="1">
        <f t="shared" si="104"/>
        <v>3</v>
      </c>
      <c r="E363" s="1">
        <f t="shared" si="104"/>
        <v>5</v>
      </c>
      <c r="F363" s="2">
        <f t="shared" si="101"/>
        <v>7</v>
      </c>
      <c r="H363" s="9" t="s">
        <v>92</v>
      </c>
      <c r="I363" s="9" t="s">
        <v>40</v>
      </c>
      <c r="J363" s="9" t="s">
        <v>33</v>
      </c>
      <c r="K363" s="9">
        <v>11.33</v>
      </c>
      <c r="L363" s="2">
        <v>3</v>
      </c>
      <c r="M363" s="2">
        <v>5</v>
      </c>
      <c r="N363" s="2">
        <v>0</v>
      </c>
      <c r="P363" s="4">
        <f t="shared" si="102"/>
        <v>1</v>
      </c>
    </row>
    <row r="364" spans="1:16" x14ac:dyDescent="0.25">
      <c r="A364" s="1" t="str">
        <f t="shared" si="104"/>
        <v>P12</v>
      </c>
      <c r="B364" s="1">
        <f t="shared" si="104"/>
        <v>12</v>
      </c>
      <c r="C364" s="1">
        <f t="shared" si="104"/>
        <v>7</v>
      </c>
      <c r="D364" s="1">
        <f t="shared" si="104"/>
        <v>2</v>
      </c>
      <c r="E364" s="1">
        <f t="shared" si="104"/>
        <v>4</v>
      </c>
      <c r="F364" s="2">
        <f t="shared" si="101"/>
        <v>7</v>
      </c>
      <c r="H364" s="9" t="s">
        <v>92</v>
      </c>
      <c r="I364" s="9" t="s">
        <v>41</v>
      </c>
      <c r="J364" s="9" t="s">
        <v>33</v>
      </c>
      <c r="K364" s="9">
        <v>8.11</v>
      </c>
      <c r="L364" s="2">
        <v>2</v>
      </c>
      <c r="M364" s="2">
        <v>4</v>
      </c>
      <c r="N364" s="2">
        <v>0</v>
      </c>
      <c r="P364" s="4">
        <f t="shared" si="102"/>
        <v>1</v>
      </c>
    </row>
    <row r="365" spans="1:16" x14ac:dyDescent="0.25">
      <c r="A365" s="1" t="str">
        <f t="shared" ref="A365:E380" si="105">A306</f>
        <v>P12</v>
      </c>
      <c r="B365" s="1">
        <f t="shared" si="105"/>
        <v>12</v>
      </c>
      <c r="C365" s="1">
        <f t="shared" si="105"/>
        <v>8</v>
      </c>
      <c r="D365" s="1">
        <f t="shared" si="105"/>
        <v>2</v>
      </c>
      <c r="E365" s="1">
        <f t="shared" si="105"/>
        <v>4</v>
      </c>
      <c r="F365" s="2">
        <f t="shared" si="101"/>
        <v>7</v>
      </c>
      <c r="H365" s="9" t="s">
        <v>92</v>
      </c>
      <c r="I365" s="9" t="s">
        <v>42</v>
      </c>
      <c r="J365" s="9" t="s">
        <v>33</v>
      </c>
      <c r="K365" s="9">
        <v>8.2200000000000006</v>
      </c>
      <c r="L365" s="2">
        <v>2</v>
      </c>
      <c r="M365" s="2">
        <v>4</v>
      </c>
      <c r="N365" s="2">
        <v>0</v>
      </c>
      <c r="P365" s="4">
        <f t="shared" si="102"/>
        <v>1</v>
      </c>
    </row>
    <row r="366" spans="1:16" x14ac:dyDescent="0.25">
      <c r="A366" s="1" t="str">
        <f t="shared" si="105"/>
        <v>P12</v>
      </c>
      <c r="B366" s="1">
        <f t="shared" si="105"/>
        <v>12</v>
      </c>
      <c r="C366" s="1">
        <f t="shared" si="105"/>
        <v>9</v>
      </c>
      <c r="D366" s="1">
        <f t="shared" si="105"/>
        <v>2</v>
      </c>
      <c r="E366" s="1">
        <f t="shared" si="105"/>
        <v>3</v>
      </c>
      <c r="F366" s="2">
        <f t="shared" si="101"/>
        <v>7</v>
      </c>
      <c r="H366" s="9" t="s">
        <v>92</v>
      </c>
      <c r="I366" s="9" t="s">
        <v>43</v>
      </c>
      <c r="J366" s="9" t="s">
        <v>33</v>
      </c>
      <c r="K366" s="9">
        <v>7.31</v>
      </c>
      <c r="L366" s="2">
        <v>2</v>
      </c>
      <c r="M366" s="2">
        <v>3</v>
      </c>
      <c r="N366" s="2">
        <v>0</v>
      </c>
      <c r="P366" s="4">
        <f t="shared" si="102"/>
        <v>1</v>
      </c>
    </row>
    <row r="367" spans="1:16" x14ac:dyDescent="0.25">
      <c r="A367" s="1" t="str">
        <f t="shared" si="105"/>
        <v>P16</v>
      </c>
      <c r="B367" s="1">
        <f t="shared" si="105"/>
        <v>16</v>
      </c>
      <c r="C367" s="1">
        <f t="shared" si="105"/>
        <v>15</v>
      </c>
      <c r="D367" s="1">
        <f t="shared" si="105"/>
        <v>4</v>
      </c>
      <c r="E367" s="1">
        <f t="shared" si="105"/>
        <v>6</v>
      </c>
      <c r="F367" s="2">
        <f t="shared" si="101"/>
        <v>7</v>
      </c>
      <c r="H367" s="9" t="s">
        <v>92</v>
      </c>
      <c r="I367" s="9" t="s">
        <v>44</v>
      </c>
      <c r="J367" s="9" t="s">
        <v>33</v>
      </c>
      <c r="K367" s="9">
        <v>14.68</v>
      </c>
      <c r="L367" s="2">
        <v>4</v>
      </c>
      <c r="M367" s="2">
        <v>6</v>
      </c>
      <c r="N367" s="2">
        <v>300</v>
      </c>
      <c r="P367" s="4">
        <f t="shared" si="102"/>
        <v>1</v>
      </c>
    </row>
    <row r="368" spans="1:16" x14ac:dyDescent="0.25">
      <c r="A368" s="1" t="str">
        <f t="shared" si="105"/>
        <v>P16</v>
      </c>
      <c r="B368" s="1">
        <f t="shared" si="105"/>
        <v>16</v>
      </c>
      <c r="C368" s="1">
        <f t="shared" si="105"/>
        <v>16</v>
      </c>
      <c r="D368" s="1">
        <f t="shared" si="105"/>
        <v>3</v>
      </c>
      <c r="E368" s="1">
        <f t="shared" si="105"/>
        <v>6</v>
      </c>
      <c r="F368" s="2">
        <f t="shared" si="101"/>
        <v>7</v>
      </c>
      <c r="H368" s="9" t="s">
        <v>92</v>
      </c>
      <c r="I368" s="9" t="s">
        <v>45</v>
      </c>
      <c r="J368" s="9" t="s">
        <v>33</v>
      </c>
      <c r="K368" s="9">
        <v>12.29</v>
      </c>
      <c r="L368" s="2">
        <v>3</v>
      </c>
      <c r="M368" s="2">
        <v>6</v>
      </c>
      <c r="N368" s="2">
        <v>0</v>
      </c>
      <c r="P368" s="4">
        <f t="shared" si="102"/>
        <v>1</v>
      </c>
    </row>
    <row r="369" spans="1:16" x14ac:dyDescent="0.25">
      <c r="A369" s="1" t="str">
        <f t="shared" si="105"/>
        <v>P16</v>
      </c>
      <c r="B369" s="1">
        <f t="shared" si="105"/>
        <v>16</v>
      </c>
      <c r="C369" s="1">
        <f t="shared" si="105"/>
        <v>18</v>
      </c>
      <c r="D369" s="1">
        <f t="shared" si="105"/>
        <v>3</v>
      </c>
      <c r="E369" s="1">
        <f t="shared" si="105"/>
        <v>6</v>
      </c>
      <c r="F369" s="2">
        <f t="shared" si="101"/>
        <v>7</v>
      </c>
      <c r="H369" s="9" t="s">
        <v>92</v>
      </c>
      <c r="I369" s="9" t="s">
        <v>46</v>
      </c>
      <c r="J369" s="9" t="s">
        <v>33</v>
      </c>
      <c r="K369" s="9">
        <v>12.41</v>
      </c>
      <c r="L369" s="2">
        <v>3</v>
      </c>
      <c r="M369" s="2">
        <v>6</v>
      </c>
      <c r="N369" s="2">
        <v>300</v>
      </c>
      <c r="P369" s="4">
        <f t="shared" si="102"/>
        <v>1</v>
      </c>
    </row>
    <row r="370" spans="1:16" x14ac:dyDescent="0.25">
      <c r="A370" s="1" t="str">
        <f t="shared" si="105"/>
        <v>P16</v>
      </c>
      <c r="B370" s="1">
        <f t="shared" si="105"/>
        <v>16</v>
      </c>
      <c r="C370" s="1">
        <f t="shared" si="105"/>
        <v>19</v>
      </c>
      <c r="D370" s="1">
        <f t="shared" si="105"/>
        <v>3</v>
      </c>
      <c r="E370" s="1">
        <f t="shared" si="105"/>
        <v>5</v>
      </c>
      <c r="F370" s="2">
        <f t="shared" si="101"/>
        <v>7</v>
      </c>
      <c r="H370" s="9" t="s">
        <v>92</v>
      </c>
      <c r="I370" s="9" t="s">
        <v>47</v>
      </c>
      <c r="J370" s="9" t="s">
        <v>33</v>
      </c>
      <c r="K370" s="9">
        <v>12.49</v>
      </c>
      <c r="L370" s="2">
        <v>3</v>
      </c>
      <c r="M370" s="2">
        <v>6</v>
      </c>
      <c r="N370" s="2">
        <v>300</v>
      </c>
      <c r="P370" s="4">
        <f t="shared" si="102"/>
        <v>0</v>
      </c>
    </row>
    <row r="371" spans="1:16" x14ac:dyDescent="0.25">
      <c r="A371" s="1" t="str">
        <f t="shared" si="105"/>
        <v>P16</v>
      </c>
      <c r="B371" s="1">
        <f t="shared" si="105"/>
        <v>16</v>
      </c>
      <c r="C371" s="1">
        <f t="shared" si="105"/>
        <v>20</v>
      </c>
      <c r="D371" s="1">
        <f t="shared" si="105"/>
        <v>3</v>
      </c>
      <c r="E371" s="1">
        <f t="shared" si="105"/>
        <v>5</v>
      </c>
      <c r="F371" s="2">
        <f t="shared" si="101"/>
        <v>7</v>
      </c>
      <c r="H371" s="9" t="s">
        <v>92</v>
      </c>
      <c r="I371" s="9" t="s">
        <v>48</v>
      </c>
      <c r="J371" s="9" t="s">
        <v>33</v>
      </c>
      <c r="K371" s="9">
        <v>12.57</v>
      </c>
      <c r="L371" s="2">
        <v>3</v>
      </c>
      <c r="M371" s="2">
        <v>6</v>
      </c>
      <c r="N371" s="2">
        <v>300</v>
      </c>
      <c r="P371" s="4">
        <f t="shared" si="102"/>
        <v>0</v>
      </c>
    </row>
    <row r="372" spans="1:16" x14ac:dyDescent="0.25">
      <c r="A372" s="1" t="str">
        <f t="shared" si="105"/>
        <v>P16</v>
      </c>
      <c r="B372" s="1">
        <f t="shared" si="105"/>
        <v>16</v>
      </c>
      <c r="C372" s="1">
        <f t="shared" si="105"/>
        <v>21</v>
      </c>
      <c r="D372" s="1">
        <f t="shared" si="105"/>
        <v>3</v>
      </c>
      <c r="E372" s="1">
        <f t="shared" si="105"/>
        <v>5</v>
      </c>
      <c r="F372" s="2">
        <f t="shared" si="101"/>
        <v>7</v>
      </c>
      <c r="H372" s="9" t="s">
        <v>92</v>
      </c>
      <c r="I372" s="9" t="s">
        <v>49</v>
      </c>
      <c r="J372" s="9" t="s">
        <v>33</v>
      </c>
      <c r="K372" s="9">
        <v>11.57</v>
      </c>
      <c r="L372" s="2">
        <v>3</v>
      </c>
      <c r="M372" s="2">
        <v>5</v>
      </c>
      <c r="N372" s="2">
        <v>300</v>
      </c>
      <c r="P372" s="4">
        <f t="shared" si="102"/>
        <v>1</v>
      </c>
    </row>
    <row r="373" spans="1:16" x14ac:dyDescent="0.25">
      <c r="A373" s="1" t="str">
        <f t="shared" si="105"/>
        <v>P16</v>
      </c>
      <c r="B373" s="1">
        <f t="shared" si="105"/>
        <v>16</v>
      </c>
      <c r="C373" s="1">
        <f t="shared" si="105"/>
        <v>22</v>
      </c>
      <c r="D373" s="1">
        <f t="shared" si="105"/>
        <v>2</v>
      </c>
      <c r="E373" s="1">
        <f t="shared" si="105"/>
        <v>4</v>
      </c>
      <c r="F373" s="2">
        <f t="shared" si="101"/>
        <v>7</v>
      </c>
      <c r="H373" s="9" t="s">
        <v>92</v>
      </c>
      <c r="I373" s="9" t="s">
        <v>50</v>
      </c>
      <c r="J373" s="9" t="s">
        <v>33</v>
      </c>
      <c r="K373" s="9">
        <v>8.1</v>
      </c>
      <c r="L373" s="2">
        <v>2</v>
      </c>
      <c r="M373" s="2">
        <v>4</v>
      </c>
      <c r="N373" s="2">
        <v>0</v>
      </c>
      <c r="P373" s="4">
        <f t="shared" si="102"/>
        <v>1</v>
      </c>
    </row>
    <row r="374" spans="1:16" x14ac:dyDescent="0.25">
      <c r="A374" s="1" t="str">
        <f t="shared" si="105"/>
        <v>P24</v>
      </c>
      <c r="B374" s="1">
        <f t="shared" si="105"/>
        <v>24</v>
      </c>
      <c r="C374" s="1">
        <f t="shared" si="105"/>
        <v>18</v>
      </c>
      <c r="D374" s="1">
        <f t="shared" si="105"/>
        <v>4</v>
      </c>
      <c r="E374" s="1">
        <f t="shared" si="105"/>
        <v>8</v>
      </c>
      <c r="F374" s="2">
        <f t="shared" si="101"/>
        <v>7</v>
      </c>
      <c r="H374" s="9" t="s">
        <v>92</v>
      </c>
      <c r="I374" s="9" t="s">
        <v>51</v>
      </c>
      <c r="J374" s="9" t="s">
        <v>33</v>
      </c>
      <c r="K374" s="9">
        <v>16.07</v>
      </c>
      <c r="L374" s="2">
        <v>4</v>
      </c>
      <c r="M374" s="2">
        <v>8</v>
      </c>
      <c r="N374" s="2">
        <v>0.01</v>
      </c>
      <c r="P374" s="4">
        <f t="shared" si="102"/>
        <v>1</v>
      </c>
    </row>
    <row r="375" spans="1:16" x14ac:dyDescent="0.25">
      <c r="A375" s="1" t="str">
        <f t="shared" si="105"/>
        <v>P24</v>
      </c>
      <c r="B375" s="1">
        <f t="shared" si="105"/>
        <v>24</v>
      </c>
      <c r="C375" s="1">
        <f t="shared" si="105"/>
        <v>20</v>
      </c>
      <c r="D375" s="1">
        <f t="shared" si="105"/>
        <v>4</v>
      </c>
      <c r="E375" s="1">
        <f t="shared" si="105"/>
        <v>7</v>
      </c>
      <c r="F375" s="2">
        <f t="shared" si="101"/>
        <v>7</v>
      </c>
      <c r="H375" s="9" t="s">
        <v>92</v>
      </c>
      <c r="I375" s="9" t="s">
        <v>52</v>
      </c>
      <c r="J375" s="9" t="s">
        <v>33</v>
      </c>
      <c r="K375" s="9">
        <v>16.16</v>
      </c>
      <c r="L375" s="2">
        <v>4</v>
      </c>
      <c r="M375" s="2">
        <v>8</v>
      </c>
      <c r="N375" s="2">
        <v>300</v>
      </c>
      <c r="P375" s="4">
        <f t="shared" si="102"/>
        <v>0</v>
      </c>
    </row>
    <row r="376" spans="1:16" x14ac:dyDescent="0.25">
      <c r="A376" s="1" t="str">
        <f t="shared" si="105"/>
        <v>P24</v>
      </c>
      <c r="B376" s="1">
        <f t="shared" si="105"/>
        <v>24</v>
      </c>
      <c r="C376" s="1">
        <f t="shared" si="105"/>
        <v>24</v>
      </c>
      <c r="D376" s="1">
        <f t="shared" si="105"/>
        <v>3</v>
      </c>
      <c r="E376" s="1">
        <f t="shared" si="105"/>
        <v>6</v>
      </c>
      <c r="F376" s="2">
        <f t="shared" si="101"/>
        <v>7</v>
      </c>
      <c r="H376" s="9" t="s">
        <v>92</v>
      </c>
      <c r="I376" s="9" t="s">
        <v>53</v>
      </c>
      <c r="J376" s="9" t="s">
        <v>33</v>
      </c>
      <c r="K376" s="9">
        <v>12.03</v>
      </c>
      <c r="L376" s="2">
        <v>3</v>
      </c>
      <c r="M376" s="2">
        <v>6</v>
      </c>
      <c r="N376" s="2">
        <v>0.01</v>
      </c>
      <c r="P376" s="4">
        <f t="shared" si="102"/>
        <v>1</v>
      </c>
    </row>
    <row r="377" spans="1:16" x14ac:dyDescent="0.25">
      <c r="A377" s="1" t="str">
        <f t="shared" si="105"/>
        <v>P24</v>
      </c>
      <c r="B377" s="1">
        <f t="shared" si="105"/>
        <v>24</v>
      </c>
      <c r="C377" s="1">
        <f t="shared" si="105"/>
        <v>25</v>
      </c>
      <c r="D377" s="1">
        <f t="shared" si="105"/>
        <v>3</v>
      </c>
      <c r="E377" s="1">
        <f t="shared" si="105"/>
        <v>6</v>
      </c>
      <c r="F377" s="2">
        <f t="shared" si="101"/>
        <v>7</v>
      </c>
      <c r="H377" s="9" t="s">
        <v>92</v>
      </c>
      <c r="I377" s="9" t="s">
        <v>54</v>
      </c>
      <c r="J377" s="9" t="s">
        <v>33</v>
      </c>
      <c r="K377" s="9">
        <v>12.09</v>
      </c>
      <c r="L377" s="2">
        <v>3</v>
      </c>
      <c r="M377" s="2">
        <v>6</v>
      </c>
      <c r="N377" s="2">
        <v>0.01</v>
      </c>
      <c r="P377" s="4">
        <f t="shared" si="102"/>
        <v>1</v>
      </c>
    </row>
    <row r="378" spans="1:16" x14ac:dyDescent="0.25">
      <c r="A378" s="1" t="str">
        <f t="shared" si="105"/>
        <v>P24</v>
      </c>
      <c r="B378" s="1">
        <f t="shared" si="105"/>
        <v>24</v>
      </c>
      <c r="C378" s="1">
        <f t="shared" si="105"/>
        <v>30</v>
      </c>
      <c r="D378" s="1">
        <f t="shared" si="105"/>
        <v>3</v>
      </c>
      <c r="E378" s="1">
        <f t="shared" si="105"/>
        <v>5</v>
      </c>
      <c r="F378" s="2">
        <f t="shared" si="101"/>
        <v>7</v>
      </c>
      <c r="H378" s="9" t="s">
        <v>92</v>
      </c>
      <c r="I378" s="9" t="s">
        <v>55</v>
      </c>
      <c r="J378" s="9" t="s">
        <v>33</v>
      </c>
      <c r="K378" s="9">
        <v>11.25</v>
      </c>
      <c r="L378" s="2">
        <v>3</v>
      </c>
      <c r="M378" s="2">
        <v>5</v>
      </c>
      <c r="N378" s="2">
        <v>0.01</v>
      </c>
      <c r="P378" s="4">
        <f t="shared" si="102"/>
        <v>1</v>
      </c>
    </row>
    <row r="379" spans="1:16" x14ac:dyDescent="0.25">
      <c r="A379" s="1" t="str">
        <f t="shared" si="105"/>
        <v>P24</v>
      </c>
      <c r="B379" s="1">
        <f t="shared" si="105"/>
        <v>24</v>
      </c>
      <c r="C379" s="1">
        <f t="shared" si="105"/>
        <v>35</v>
      </c>
      <c r="D379" s="1">
        <f t="shared" si="105"/>
        <v>2</v>
      </c>
      <c r="E379" s="1">
        <f t="shared" si="105"/>
        <v>4</v>
      </c>
      <c r="F379" s="2">
        <f t="shared" si="101"/>
        <v>7</v>
      </c>
      <c r="H379" s="9" t="s">
        <v>92</v>
      </c>
      <c r="I379" s="9" t="s">
        <v>56</v>
      </c>
      <c r="J379" s="9" t="s">
        <v>33</v>
      </c>
      <c r="K379" s="9">
        <v>8</v>
      </c>
      <c r="L379" s="2">
        <v>2</v>
      </c>
      <c r="M379" s="2">
        <v>4</v>
      </c>
      <c r="N379" s="2">
        <v>0</v>
      </c>
      <c r="P379" s="4">
        <f t="shared" si="102"/>
        <v>1</v>
      </c>
    </row>
    <row r="380" spans="1:16" x14ac:dyDescent="0.25">
      <c r="A380" s="1" t="str">
        <f t="shared" si="105"/>
        <v>P24</v>
      </c>
      <c r="B380" s="1">
        <f t="shared" si="105"/>
        <v>24</v>
      </c>
      <c r="C380" s="1">
        <f t="shared" si="105"/>
        <v>40</v>
      </c>
      <c r="D380" s="1">
        <f t="shared" si="105"/>
        <v>2</v>
      </c>
      <c r="E380" s="1">
        <f t="shared" si="105"/>
        <v>4</v>
      </c>
      <c r="F380" s="2">
        <f t="shared" si="101"/>
        <v>7</v>
      </c>
      <c r="H380" s="9" t="s">
        <v>92</v>
      </c>
      <c r="I380" s="9" t="s">
        <v>57</v>
      </c>
      <c r="J380" s="9" t="s">
        <v>33</v>
      </c>
      <c r="K380" s="9">
        <v>8.1300000000000008</v>
      </c>
      <c r="L380" s="2">
        <v>2</v>
      </c>
      <c r="M380" s="2">
        <v>4</v>
      </c>
      <c r="N380" s="2">
        <v>0</v>
      </c>
      <c r="P380" s="4">
        <f t="shared" si="102"/>
        <v>1</v>
      </c>
    </row>
    <row r="381" spans="1:16" x14ac:dyDescent="0.25">
      <c r="A381" s="1" t="str">
        <f t="shared" ref="A381:E396" si="106">A322</f>
        <v>P65</v>
      </c>
      <c r="B381" s="1">
        <f t="shared" si="106"/>
        <v>65</v>
      </c>
      <c r="C381" s="1">
        <f t="shared" si="106"/>
        <v>326</v>
      </c>
      <c r="D381" s="1">
        <f t="shared" si="106"/>
        <v>8</v>
      </c>
      <c r="E381" s="1">
        <f t="shared" si="106"/>
        <v>16</v>
      </c>
      <c r="F381" s="2">
        <f t="shared" si="101"/>
        <v>7</v>
      </c>
      <c r="H381" s="9" t="s">
        <v>92</v>
      </c>
      <c r="I381" s="9" t="s">
        <v>58</v>
      </c>
      <c r="J381" s="9" t="s">
        <v>33</v>
      </c>
      <c r="K381" s="9">
        <v>35.22</v>
      </c>
      <c r="L381" s="2">
        <v>9</v>
      </c>
      <c r="M381" s="2">
        <v>17</v>
      </c>
      <c r="N381" s="2">
        <v>300.01</v>
      </c>
      <c r="P381" s="4">
        <f t="shared" si="102"/>
        <v>0</v>
      </c>
    </row>
    <row r="382" spans="1:16" x14ac:dyDescent="0.25">
      <c r="A382" s="1" t="str">
        <f t="shared" si="106"/>
        <v>P65</v>
      </c>
      <c r="B382" s="1">
        <f t="shared" si="106"/>
        <v>65</v>
      </c>
      <c r="C382" s="1">
        <f t="shared" si="106"/>
        <v>381</v>
      </c>
      <c r="D382" s="1">
        <f t="shared" si="106"/>
        <v>7</v>
      </c>
      <c r="E382" s="1">
        <f t="shared" si="106"/>
        <v>14</v>
      </c>
      <c r="F382" s="2">
        <f t="shared" ref="F382:F445" si="107">F323+1</f>
        <v>7</v>
      </c>
      <c r="H382" s="9" t="s">
        <v>92</v>
      </c>
      <c r="I382" s="9" t="s">
        <v>59</v>
      </c>
      <c r="J382" s="9" t="s">
        <v>33</v>
      </c>
      <c r="K382" s="9">
        <v>28.17</v>
      </c>
      <c r="L382" s="2">
        <v>7</v>
      </c>
      <c r="M382" s="2">
        <v>14</v>
      </c>
      <c r="N382" s="2">
        <v>0.21</v>
      </c>
      <c r="P382" s="4">
        <f t="shared" si="102"/>
        <v>1</v>
      </c>
    </row>
    <row r="383" spans="1:16" x14ac:dyDescent="0.25">
      <c r="A383" s="1" t="str">
        <f t="shared" si="106"/>
        <v>P65</v>
      </c>
      <c r="B383" s="1">
        <f t="shared" si="106"/>
        <v>65</v>
      </c>
      <c r="C383" s="1">
        <f t="shared" si="106"/>
        <v>435</v>
      </c>
      <c r="D383" s="1">
        <f t="shared" si="106"/>
        <v>6</v>
      </c>
      <c r="E383" s="1">
        <f t="shared" si="106"/>
        <v>12</v>
      </c>
      <c r="F383" s="2">
        <f t="shared" si="107"/>
        <v>7</v>
      </c>
      <c r="H383" s="9" t="s">
        <v>92</v>
      </c>
      <c r="I383" s="9" t="s">
        <v>60</v>
      </c>
      <c r="J383" s="9" t="s">
        <v>33</v>
      </c>
      <c r="K383" s="9">
        <v>24.09</v>
      </c>
      <c r="L383" s="2">
        <v>6</v>
      </c>
      <c r="M383" s="2">
        <v>12</v>
      </c>
      <c r="N383" s="2">
        <v>0.37</v>
      </c>
      <c r="P383" s="4">
        <f t="shared" si="102"/>
        <v>1</v>
      </c>
    </row>
    <row r="384" spans="1:16" x14ac:dyDescent="0.25">
      <c r="A384" s="1" t="str">
        <f t="shared" si="106"/>
        <v>P65</v>
      </c>
      <c r="B384" s="1">
        <f t="shared" si="106"/>
        <v>65</v>
      </c>
      <c r="C384" s="1">
        <f t="shared" si="106"/>
        <v>490</v>
      </c>
      <c r="D384" s="1">
        <f t="shared" si="106"/>
        <v>6</v>
      </c>
      <c r="E384" s="1">
        <f t="shared" si="106"/>
        <v>11</v>
      </c>
      <c r="F384" s="2">
        <f t="shared" si="107"/>
        <v>7</v>
      </c>
      <c r="H384" s="9" t="s">
        <v>92</v>
      </c>
      <c r="I384" s="9" t="s">
        <v>61</v>
      </c>
      <c r="J384" s="9" t="s">
        <v>33</v>
      </c>
      <c r="K384" s="9">
        <v>23.27</v>
      </c>
      <c r="L384" s="2">
        <v>6</v>
      </c>
      <c r="M384" s="2">
        <v>11</v>
      </c>
      <c r="N384" s="2">
        <v>0.01</v>
      </c>
      <c r="P384" s="4">
        <f t="shared" si="102"/>
        <v>1</v>
      </c>
    </row>
    <row r="385" spans="1:16" x14ac:dyDescent="0.25">
      <c r="A385" s="1" t="str">
        <f t="shared" si="106"/>
        <v>P65</v>
      </c>
      <c r="B385" s="1">
        <f t="shared" si="106"/>
        <v>65</v>
      </c>
      <c r="C385" s="1">
        <f t="shared" si="106"/>
        <v>512</v>
      </c>
      <c r="D385" s="1">
        <f t="shared" si="106"/>
        <v>5</v>
      </c>
      <c r="E385" s="1">
        <f t="shared" si="106"/>
        <v>10</v>
      </c>
      <c r="F385" s="2">
        <f t="shared" si="107"/>
        <v>7</v>
      </c>
      <c r="H385" s="9" t="s">
        <v>92</v>
      </c>
      <c r="I385" s="9" t="s">
        <v>62</v>
      </c>
      <c r="J385" s="9" t="s">
        <v>33</v>
      </c>
      <c r="K385" s="9">
        <v>23.19</v>
      </c>
      <c r="L385" s="2">
        <v>6</v>
      </c>
      <c r="M385" s="2">
        <v>11</v>
      </c>
      <c r="N385" s="2">
        <v>300.01</v>
      </c>
      <c r="P385" s="4">
        <f t="shared" si="102"/>
        <v>0</v>
      </c>
    </row>
    <row r="386" spans="1:16" x14ac:dyDescent="0.25">
      <c r="A386" s="1" t="str">
        <f t="shared" si="106"/>
        <v>P65</v>
      </c>
      <c r="B386" s="1">
        <f t="shared" si="106"/>
        <v>65</v>
      </c>
      <c r="C386" s="1">
        <f t="shared" si="106"/>
        <v>544</v>
      </c>
      <c r="D386" s="1">
        <f t="shared" si="106"/>
        <v>5</v>
      </c>
      <c r="E386" s="1">
        <f t="shared" si="106"/>
        <v>10</v>
      </c>
      <c r="F386" s="2">
        <f t="shared" si="107"/>
        <v>7</v>
      </c>
      <c r="H386" s="9" t="s">
        <v>92</v>
      </c>
      <c r="I386" s="9" t="s">
        <v>63</v>
      </c>
      <c r="J386" s="9" t="s">
        <v>33</v>
      </c>
      <c r="K386" s="9">
        <v>20.13</v>
      </c>
      <c r="L386" s="2">
        <v>5</v>
      </c>
      <c r="M386" s="2">
        <v>10</v>
      </c>
      <c r="N386" s="2">
        <v>0.01</v>
      </c>
      <c r="P386" s="4">
        <f t="shared" si="102"/>
        <v>1</v>
      </c>
    </row>
    <row r="387" spans="1:16" x14ac:dyDescent="0.25">
      <c r="A387" s="1" t="str">
        <f t="shared" si="106"/>
        <v>P148</v>
      </c>
      <c r="B387" s="1">
        <f t="shared" si="106"/>
        <v>148</v>
      </c>
      <c r="C387" s="1">
        <f t="shared" si="106"/>
        <v>204</v>
      </c>
      <c r="D387" s="1">
        <f t="shared" si="106"/>
        <v>13</v>
      </c>
      <c r="E387" s="1">
        <f t="shared" si="106"/>
        <v>26</v>
      </c>
      <c r="F387" s="2">
        <f t="shared" si="107"/>
        <v>7</v>
      </c>
      <c r="H387" s="9" t="s">
        <v>92</v>
      </c>
      <c r="I387" s="9" t="s">
        <v>64</v>
      </c>
      <c r="J387" s="9" t="s">
        <v>33</v>
      </c>
      <c r="K387" s="9">
        <v>52.17</v>
      </c>
      <c r="L387" s="2">
        <v>13</v>
      </c>
      <c r="M387" s="2">
        <v>26</v>
      </c>
      <c r="N387" s="2">
        <v>1.33</v>
      </c>
      <c r="P387" s="4">
        <f t="shared" ref="P387:P450" si="108">IF(D387*100+E387=L387*100+M387,1,0)</f>
        <v>1</v>
      </c>
    </row>
    <row r="388" spans="1:16" x14ac:dyDescent="0.25">
      <c r="A388" s="1" t="str">
        <f t="shared" si="106"/>
        <v>P148</v>
      </c>
      <c r="B388" s="1">
        <f t="shared" si="106"/>
        <v>148</v>
      </c>
      <c r="C388" s="1">
        <f t="shared" si="106"/>
        <v>228</v>
      </c>
      <c r="D388" s="1">
        <f t="shared" si="106"/>
        <v>12</v>
      </c>
      <c r="E388" s="1">
        <f t="shared" si="106"/>
        <v>23</v>
      </c>
      <c r="F388" s="2">
        <f t="shared" si="107"/>
        <v>7</v>
      </c>
      <c r="H388" s="9" t="s">
        <v>92</v>
      </c>
      <c r="I388" s="9" t="s">
        <v>65</v>
      </c>
      <c r="J388" s="9" t="s">
        <v>33</v>
      </c>
      <c r="K388" s="9">
        <v>47.16</v>
      </c>
      <c r="L388" s="2">
        <v>12</v>
      </c>
      <c r="M388" s="2">
        <v>23</v>
      </c>
      <c r="N388" s="2">
        <v>1.27</v>
      </c>
      <c r="P388" s="4">
        <f t="shared" si="108"/>
        <v>1</v>
      </c>
    </row>
    <row r="389" spans="1:16" x14ac:dyDescent="0.25">
      <c r="A389" s="1" t="str">
        <f t="shared" si="106"/>
        <v>P148</v>
      </c>
      <c r="B389" s="1">
        <f t="shared" si="106"/>
        <v>148</v>
      </c>
      <c r="C389" s="1">
        <f t="shared" si="106"/>
        <v>255</v>
      </c>
      <c r="D389" s="1">
        <f t="shared" si="106"/>
        <v>11</v>
      </c>
      <c r="E389" s="1">
        <f t="shared" si="106"/>
        <v>21</v>
      </c>
      <c r="F389" s="2">
        <f t="shared" si="107"/>
        <v>7</v>
      </c>
      <c r="H389" s="9" t="s">
        <v>92</v>
      </c>
      <c r="I389" s="9" t="s">
        <v>66</v>
      </c>
      <c r="J389" s="9" t="s">
        <v>33</v>
      </c>
      <c r="K389" s="9">
        <v>43.25</v>
      </c>
      <c r="L389" s="2">
        <v>11</v>
      </c>
      <c r="M389" s="2">
        <v>21</v>
      </c>
      <c r="N389" s="2">
        <v>0.04</v>
      </c>
      <c r="P389" s="4">
        <f t="shared" si="108"/>
        <v>1</v>
      </c>
    </row>
    <row r="390" spans="1:16" x14ac:dyDescent="0.25">
      <c r="A390" s="1" t="str">
        <f t="shared" si="106"/>
        <v>P148</v>
      </c>
      <c r="B390" s="1">
        <f t="shared" si="106"/>
        <v>148</v>
      </c>
      <c r="C390" s="1">
        <f t="shared" si="106"/>
        <v>306</v>
      </c>
      <c r="D390" s="1">
        <f t="shared" si="106"/>
        <v>9</v>
      </c>
      <c r="E390" s="1">
        <f t="shared" si="106"/>
        <v>17</v>
      </c>
      <c r="F390" s="2">
        <f t="shared" si="107"/>
        <v>7</v>
      </c>
      <c r="H390" s="9" t="s">
        <v>92</v>
      </c>
      <c r="I390" s="9" t="s">
        <v>67</v>
      </c>
      <c r="J390" s="9" t="s">
        <v>33</v>
      </c>
      <c r="K390" s="9">
        <v>35.11</v>
      </c>
      <c r="L390" s="2">
        <v>9</v>
      </c>
      <c r="M390" s="2">
        <v>17</v>
      </c>
      <c r="N390" s="2">
        <v>0.57999999999999996</v>
      </c>
      <c r="P390" s="4">
        <f t="shared" si="108"/>
        <v>1</v>
      </c>
    </row>
    <row r="391" spans="1:16" x14ac:dyDescent="0.25">
      <c r="A391" s="1" t="str">
        <f t="shared" si="106"/>
        <v>P148</v>
      </c>
      <c r="B391" s="1">
        <f t="shared" si="106"/>
        <v>148</v>
      </c>
      <c r="C391" s="1">
        <f t="shared" si="106"/>
        <v>357</v>
      </c>
      <c r="D391" s="1">
        <f t="shared" si="106"/>
        <v>8</v>
      </c>
      <c r="E391" s="1">
        <f t="shared" si="106"/>
        <v>15</v>
      </c>
      <c r="F391" s="2">
        <f t="shared" si="107"/>
        <v>7</v>
      </c>
      <c r="H391" s="9" t="s">
        <v>92</v>
      </c>
      <c r="I391" s="9" t="s">
        <v>68</v>
      </c>
      <c r="J391" s="9" t="s">
        <v>33</v>
      </c>
      <c r="K391" s="9">
        <v>31.2</v>
      </c>
      <c r="L391" s="2">
        <v>8</v>
      </c>
      <c r="M391" s="2">
        <v>15</v>
      </c>
      <c r="N391" s="2">
        <v>0.03</v>
      </c>
      <c r="P391" s="4">
        <f t="shared" si="108"/>
        <v>1</v>
      </c>
    </row>
    <row r="392" spans="1:16" x14ac:dyDescent="0.25">
      <c r="A392" s="1" t="str">
        <f t="shared" si="106"/>
        <v>P148</v>
      </c>
      <c r="B392" s="1">
        <f t="shared" si="106"/>
        <v>148</v>
      </c>
      <c r="C392" s="1">
        <f t="shared" si="106"/>
        <v>378</v>
      </c>
      <c r="D392" s="1">
        <f t="shared" si="106"/>
        <v>7</v>
      </c>
      <c r="E392" s="1">
        <f t="shared" si="106"/>
        <v>14</v>
      </c>
      <c r="F392" s="2">
        <f t="shared" si="107"/>
        <v>7</v>
      </c>
      <c r="H392" s="9" t="s">
        <v>92</v>
      </c>
      <c r="I392" s="9" t="s">
        <v>69</v>
      </c>
      <c r="J392" s="9" t="s">
        <v>33</v>
      </c>
      <c r="K392" s="9">
        <v>28.06</v>
      </c>
      <c r="L392" s="2">
        <v>7</v>
      </c>
      <c r="M392" s="2">
        <v>14</v>
      </c>
      <c r="N392" s="2">
        <v>0.43</v>
      </c>
      <c r="P392" s="4">
        <f t="shared" si="108"/>
        <v>1</v>
      </c>
    </row>
    <row r="393" spans="1:16" x14ac:dyDescent="0.25">
      <c r="A393" s="1" t="str">
        <f t="shared" si="106"/>
        <v>P148</v>
      </c>
      <c r="B393" s="1">
        <f t="shared" si="106"/>
        <v>148</v>
      </c>
      <c r="C393" s="1">
        <f t="shared" si="106"/>
        <v>408</v>
      </c>
      <c r="D393" s="1">
        <f t="shared" si="106"/>
        <v>7</v>
      </c>
      <c r="E393" s="1">
        <f t="shared" si="106"/>
        <v>13</v>
      </c>
      <c r="F393" s="2">
        <f t="shared" si="107"/>
        <v>7</v>
      </c>
      <c r="H393" s="9" t="s">
        <v>92</v>
      </c>
      <c r="I393" s="9" t="s">
        <v>70</v>
      </c>
      <c r="J393" s="9" t="s">
        <v>33</v>
      </c>
      <c r="K393" s="9">
        <v>27.16</v>
      </c>
      <c r="L393" s="2">
        <v>7</v>
      </c>
      <c r="M393" s="2">
        <v>13</v>
      </c>
      <c r="N393" s="2">
        <v>0.36</v>
      </c>
      <c r="P393" s="4">
        <f t="shared" si="108"/>
        <v>1</v>
      </c>
    </row>
    <row r="394" spans="1:16" x14ac:dyDescent="0.25">
      <c r="A394" s="1" t="str">
        <f t="shared" si="106"/>
        <v>P148</v>
      </c>
      <c r="B394" s="1">
        <f t="shared" si="106"/>
        <v>148</v>
      </c>
      <c r="C394" s="1">
        <f t="shared" si="106"/>
        <v>454</v>
      </c>
      <c r="D394" s="1">
        <f t="shared" si="106"/>
        <v>6</v>
      </c>
      <c r="E394" s="1">
        <f t="shared" si="106"/>
        <v>12</v>
      </c>
      <c r="F394" s="2">
        <f t="shared" si="107"/>
        <v>7</v>
      </c>
      <c r="H394" s="9" t="s">
        <v>92</v>
      </c>
      <c r="I394" s="9" t="s">
        <v>71</v>
      </c>
      <c r="J394" s="9" t="s">
        <v>33</v>
      </c>
      <c r="K394" s="9">
        <v>24.08</v>
      </c>
      <c r="L394" s="2">
        <v>6</v>
      </c>
      <c r="M394" s="2">
        <v>12</v>
      </c>
      <c r="N394" s="2">
        <v>0.11</v>
      </c>
      <c r="P394" s="4">
        <f t="shared" si="108"/>
        <v>1</v>
      </c>
    </row>
    <row r="395" spans="1:16" x14ac:dyDescent="0.25">
      <c r="A395" s="1" t="str">
        <f t="shared" si="106"/>
        <v>P148</v>
      </c>
      <c r="B395" s="1">
        <f t="shared" si="106"/>
        <v>148</v>
      </c>
      <c r="C395" s="1">
        <f t="shared" si="106"/>
        <v>459</v>
      </c>
      <c r="D395" s="1">
        <f t="shared" si="106"/>
        <v>6</v>
      </c>
      <c r="E395" s="1">
        <f t="shared" si="106"/>
        <v>12</v>
      </c>
      <c r="F395" s="2">
        <f t="shared" si="107"/>
        <v>7</v>
      </c>
      <c r="H395" s="9" t="s">
        <v>92</v>
      </c>
      <c r="I395" s="9" t="s">
        <v>72</v>
      </c>
      <c r="J395" s="9" t="s">
        <v>33</v>
      </c>
      <c r="K395" s="9">
        <v>24.18</v>
      </c>
      <c r="L395" s="2">
        <v>6</v>
      </c>
      <c r="M395" s="2">
        <v>12</v>
      </c>
      <c r="N395" s="2">
        <v>0.03</v>
      </c>
      <c r="P395" s="4">
        <f t="shared" si="108"/>
        <v>1</v>
      </c>
    </row>
    <row r="396" spans="1:16" x14ac:dyDescent="0.25">
      <c r="A396" s="1" t="str">
        <f t="shared" si="106"/>
        <v>P148</v>
      </c>
      <c r="B396" s="1">
        <f t="shared" si="106"/>
        <v>148</v>
      </c>
      <c r="C396" s="1">
        <f t="shared" si="106"/>
        <v>510</v>
      </c>
      <c r="D396" s="1">
        <f t="shared" si="106"/>
        <v>6</v>
      </c>
      <c r="E396" s="1">
        <f t="shared" si="106"/>
        <v>11</v>
      </c>
      <c r="F396" s="2">
        <f t="shared" si="107"/>
        <v>7</v>
      </c>
      <c r="H396" s="9" t="s">
        <v>92</v>
      </c>
      <c r="I396" s="9" t="s">
        <v>73</v>
      </c>
      <c r="J396" s="9" t="s">
        <v>33</v>
      </c>
      <c r="K396" s="9">
        <v>23.24</v>
      </c>
      <c r="L396" s="2">
        <v>6</v>
      </c>
      <c r="M396" s="2">
        <v>11</v>
      </c>
      <c r="N396" s="2">
        <v>0.04</v>
      </c>
      <c r="P396" s="4">
        <f t="shared" si="108"/>
        <v>1</v>
      </c>
    </row>
    <row r="397" spans="1:16" x14ac:dyDescent="0.25">
      <c r="A397" s="1" t="str">
        <f t="shared" ref="A397:E412" si="109">A338</f>
        <v>P205</v>
      </c>
      <c r="B397" s="1">
        <f t="shared" si="109"/>
        <v>205</v>
      </c>
      <c r="C397" s="1">
        <f t="shared" si="109"/>
        <v>1133</v>
      </c>
      <c r="D397" s="1">
        <f t="shared" si="109"/>
        <v>11</v>
      </c>
      <c r="E397" s="1">
        <f t="shared" si="109"/>
        <v>21</v>
      </c>
      <c r="F397" s="2">
        <f t="shared" si="107"/>
        <v>7</v>
      </c>
      <c r="H397" s="9" t="s">
        <v>92</v>
      </c>
      <c r="I397" s="9" t="s">
        <v>74</v>
      </c>
      <c r="J397" s="9" t="s">
        <v>33</v>
      </c>
      <c r="K397" s="9">
        <v>47.64</v>
      </c>
      <c r="L397" s="2">
        <v>12</v>
      </c>
      <c r="M397" s="2">
        <v>23</v>
      </c>
      <c r="N397" s="2">
        <v>300.02999999999997</v>
      </c>
      <c r="P397" s="4">
        <f t="shared" si="108"/>
        <v>0</v>
      </c>
    </row>
    <row r="398" spans="1:16" x14ac:dyDescent="0.25">
      <c r="A398" s="1" t="str">
        <f t="shared" si="109"/>
        <v>P205</v>
      </c>
      <c r="B398" s="1">
        <f t="shared" si="109"/>
        <v>205</v>
      </c>
      <c r="C398" s="1">
        <f t="shared" si="109"/>
        <v>1275</v>
      </c>
      <c r="D398" s="1">
        <f t="shared" si="109"/>
        <v>10</v>
      </c>
      <c r="E398" s="1">
        <f t="shared" si="109"/>
        <v>19</v>
      </c>
      <c r="F398" s="2">
        <f t="shared" si="107"/>
        <v>7</v>
      </c>
      <c r="H398" s="9" t="s">
        <v>92</v>
      </c>
      <c r="I398" s="9" t="s">
        <v>75</v>
      </c>
      <c r="J398" s="9" t="s">
        <v>33</v>
      </c>
      <c r="K398" s="9">
        <v>40.31</v>
      </c>
      <c r="L398" s="2">
        <v>10</v>
      </c>
      <c r="M398" s="2">
        <v>20</v>
      </c>
      <c r="N398" s="2">
        <v>300.02999999999997</v>
      </c>
      <c r="P398" s="4">
        <f t="shared" si="108"/>
        <v>0</v>
      </c>
    </row>
    <row r="399" spans="1:16" x14ac:dyDescent="0.25">
      <c r="A399" s="1" t="str">
        <f t="shared" si="109"/>
        <v>P205</v>
      </c>
      <c r="B399" s="1">
        <f t="shared" si="109"/>
        <v>205</v>
      </c>
      <c r="C399" s="1">
        <f t="shared" si="109"/>
        <v>1322</v>
      </c>
      <c r="D399" s="1">
        <f t="shared" si="109"/>
        <v>9</v>
      </c>
      <c r="E399" s="1">
        <f t="shared" si="109"/>
        <v>18</v>
      </c>
      <c r="F399" s="2">
        <f t="shared" si="107"/>
        <v>7</v>
      </c>
      <c r="H399" s="9" t="s">
        <v>92</v>
      </c>
      <c r="I399" s="9" t="s">
        <v>76</v>
      </c>
      <c r="J399" s="9" t="s">
        <v>33</v>
      </c>
      <c r="K399" s="9">
        <v>40.369999999999997</v>
      </c>
      <c r="L399" s="2">
        <v>10</v>
      </c>
      <c r="M399" s="2">
        <v>20</v>
      </c>
      <c r="N399" s="2">
        <v>300.02999999999997</v>
      </c>
      <c r="P399" s="4">
        <f t="shared" si="108"/>
        <v>0</v>
      </c>
    </row>
    <row r="400" spans="1:16" x14ac:dyDescent="0.25">
      <c r="A400" s="1" t="str">
        <f t="shared" si="109"/>
        <v>P205</v>
      </c>
      <c r="B400" s="1">
        <f t="shared" si="109"/>
        <v>205</v>
      </c>
      <c r="C400" s="1">
        <f t="shared" si="109"/>
        <v>1455</v>
      </c>
      <c r="D400" s="1">
        <f t="shared" si="109"/>
        <v>9</v>
      </c>
      <c r="E400" s="1">
        <f t="shared" si="109"/>
        <v>17</v>
      </c>
      <c r="F400" s="2">
        <f t="shared" si="107"/>
        <v>7</v>
      </c>
      <c r="H400" s="9" t="s">
        <v>92</v>
      </c>
      <c r="I400" s="9" t="s">
        <v>77</v>
      </c>
      <c r="J400" s="9" t="s">
        <v>33</v>
      </c>
      <c r="K400" s="9">
        <v>36.32</v>
      </c>
      <c r="L400" s="2">
        <v>9</v>
      </c>
      <c r="M400" s="2">
        <v>18</v>
      </c>
      <c r="N400" s="2">
        <v>300.04000000000002</v>
      </c>
      <c r="P400" s="4">
        <f t="shared" si="108"/>
        <v>0</v>
      </c>
    </row>
    <row r="401" spans="1:16" x14ac:dyDescent="0.25">
      <c r="A401" s="1" t="str">
        <f t="shared" si="109"/>
        <v>P205</v>
      </c>
      <c r="B401" s="1">
        <f t="shared" si="109"/>
        <v>205</v>
      </c>
      <c r="C401" s="1">
        <f t="shared" si="109"/>
        <v>1510</v>
      </c>
      <c r="D401" s="1">
        <f t="shared" si="109"/>
        <v>8</v>
      </c>
      <c r="E401" s="1">
        <f t="shared" si="109"/>
        <v>16</v>
      </c>
      <c r="F401" s="2">
        <f t="shared" si="107"/>
        <v>7</v>
      </c>
      <c r="H401" s="9" t="s">
        <v>92</v>
      </c>
      <c r="I401" s="9" t="s">
        <v>78</v>
      </c>
      <c r="J401" s="9" t="s">
        <v>33</v>
      </c>
      <c r="K401" s="9">
        <v>35.31</v>
      </c>
      <c r="L401" s="2">
        <v>9</v>
      </c>
      <c r="M401" s="2">
        <v>17</v>
      </c>
      <c r="N401" s="2">
        <v>300</v>
      </c>
      <c r="P401" s="4">
        <f t="shared" si="108"/>
        <v>0</v>
      </c>
    </row>
    <row r="402" spans="1:16" x14ac:dyDescent="0.25">
      <c r="A402" s="1" t="str">
        <f t="shared" si="109"/>
        <v>P205</v>
      </c>
      <c r="B402" s="1">
        <f t="shared" si="109"/>
        <v>205</v>
      </c>
      <c r="C402" s="1">
        <f t="shared" si="109"/>
        <v>1650</v>
      </c>
      <c r="D402" s="1">
        <f t="shared" si="109"/>
        <v>8</v>
      </c>
      <c r="E402" s="1">
        <f t="shared" si="109"/>
        <v>15</v>
      </c>
      <c r="F402" s="2">
        <f t="shared" si="107"/>
        <v>7</v>
      </c>
      <c r="H402" s="9" t="s">
        <v>92</v>
      </c>
      <c r="I402" s="9" t="s">
        <v>79</v>
      </c>
      <c r="J402" s="9" t="s">
        <v>33</v>
      </c>
      <c r="K402" s="9">
        <v>32.33</v>
      </c>
      <c r="L402" s="2">
        <v>8</v>
      </c>
      <c r="M402" s="2">
        <v>16</v>
      </c>
      <c r="N402" s="2">
        <v>300.01</v>
      </c>
      <c r="P402" s="4">
        <f t="shared" si="108"/>
        <v>0</v>
      </c>
    </row>
    <row r="403" spans="1:16" x14ac:dyDescent="0.25">
      <c r="A403" s="1" t="str">
        <f t="shared" si="109"/>
        <v>P205</v>
      </c>
      <c r="B403" s="1">
        <f t="shared" si="109"/>
        <v>205</v>
      </c>
      <c r="C403" s="1">
        <f t="shared" si="109"/>
        <v>1699</v>
      </c>
      <c r="D403" s="1">
        <f t="shared" si="109"/>
        <v>7</v>
      </c>
      <c r="E403" s="1">
        <f t="shared" si="109"/>
        <v>14</v>
      </c>
      <c r="F403" s="2">
        <f t="shared" si="107"/>
        <v>7</v>
      </c>
      <c r="H403" s="9" t="s">
        <v>92</v>
      </c>
      <c r="I403" s="9" t="s">
        <v>80</v>
      </c>
      <c r="J403" s="9" t="s">
        <v>33</v>
      </c>
      <c r="K403" s="9">
        <v>32.380000000000003</v>
      </c>
      <c r="L403" s="2">
        <v>8</v>
      </c>
      <c r="M403" s="2">
        <v>16</v>
      </c>
      <c r="N403" s="2">
        <v>300.05</v>
      </c>
      <c r="P403" s="4">
        <f t="shared" si="108"/>
        <v>0</v>
      </c>
    </row>
    <row r="404" spans="1:16" x14ac:dyDescent="0.25">
      <c r="A404" s="1" t="str">
        <f t="shared" si="109"/>
        <v>P205</v>
      </c>
      <c r="B404" s="1">
        <f t="shared" si="109"/>
        <v>205</v>
      </c>
      <c r="C404" s="1">
        <f t="shared" si="109"/>
        <v>1888</v>
      </c>
      <c r="D404" s="1">
        <f t="shared" si="109"/>
        <v>7</v>
      </c>
      <c r="E404" s="1">
        <f t="shared" si="109"/>
        <v>13</v>
      </c>
      <c r="F404" s="2">
        <f t="shared" si="107"/>
        <v>7</v>
      </c>
      <c r="H404" s="9" t="s">
        <v>92</v>
      </c>
      <c r="I404" s="9" t="s">
        <v>81</v>
      </c>
      <c r="J404" s="9" t="s">
        <v>33</v>
      </c>
      <c r="K404" s="9">
        <v>28.23</v>
      </c>
      <c r="L404" s="2">
        <v>7</v>
      </c>
      <c r="M404" s="2">
        <v>14</v>
      </c>
      <c r="N404" s="2">
        <v>300</v>
      </c>
      <c r="P404" s="4">
        <f t="shared" si="108"/>
        <v>0</v>
      </c>
    </row>
    <row r="405" spans="1:16" x14ac:dyDescent="0.25">
      <c r="A405" s="1" t="str">
        <f t="shared" si="109"/>
        <v>P205</v>
      </c>
      <c r="B405" s="1">
        <f t="shared" si="109"/>
        <v>205</v>
      </c>
      <c r="C405" s="1">
        <f t="shared" si="109"/>
        <v>1920</v>
      </c>
      <c r="D405" s="1">
        <f t="shared" si="109"/>
        <v>7</v>
      </c>
      <c r="E405" s="1">
        <f t="shared" si="109"/>
        <v>13</v>
      </c>
      <c r="F405" s="2">
        <f t="shared" si="107"/>
        <v>7</v>
      </c>
      <c r="H405" s="9" t="s">
        <v>92</v>
      </c>
      <c r="I405" s="9" t="s">
        <v>82</v>
      </c>
      <c r="J405" s="9" t="s">
        <v>33</v>
      </c>
      <c r="K405" s="9">
        <v>28.25</v>
      </c>
      <c r="L405" s="2">
        <v>7</v>
      </c>
      <c r="M405" s="2">
        <v>14</v>
      </c>
      <c r="N405" s="2">
        <v>300.02999999999997</v>
      </c>
      <c r="P405" s="4">
        <f t="shared" si="108"/>
        <v>0</v>
      </c>
    </row>
    <row r="406" spans="1:16" x14ac:dyDescent="0.25">
      <c r="A406" s="1" t="str">
        <f t="shared" si="109"/>
        <v>P205</v>
      </c>
      <c r="B406" s="1">
        <f t="shared" si="109"/>
        <v>205</v>
      </c>
      <c r="C406" s="1">
        <f t="shared" si="109"/>
        <v>2077</v>
      </c>
      <c r="D406" s="1">
        <f t="shared" si="109"/>
        <v>6</v>
      </c>
      <c r="E406" s="1">
        <f t="shared" si="109"/>
        <v>12</v>
      </c>
      <c r="F406" s="2">
        <f t="shared" si="107"/>
        <v>7</v>
      </c>
      <c r="H406" s="9" t="s">
        <v>92</v>
      </c>
      <c r="I406" s="9" t="s">
        <v>83</v>
      </c>
      <c r="J406" s="9" t="s">
        <v>33</v>
      </c>
      <c r="K406" s="9">
        <v>28.38</v>
      </c>
      <c r="L406" s="2">
        <v>7</v>
      </c>
      <c r="M406" s="2">
        <v>14</v>
      </c>
      <c r="N406" s="2">
        <v>300.02999999999997</v>
      </c>
      <c r="P406" s="4">
        <f t="shared" si="108"/>
        <v>0</v>
      </c>
    </row>
    <row r="407" spans="1:16" x14ac:dyDescent="0.25">
      <c r="A407" s="1" t="str">
        <f t="shared" si="109"/>
        <v>P205</v>
      </c>
      <c r="B407" s="1">
        <f t="shared" si="109"/>
        <v>205</v>
      </c>
      <c r="C407" s="1">
        <f t="shared" si="109"/>
        <v>2100</v>
      </c>
      <c r="D407" s="1">
        <f t="shared" si="109"/>
        <v>6</v>
      </c>
      <c r="E407" s="1">
        <f t="shared" si="109"/>
        <v>12</v>
      </c>
      <c r="F407" s="2">
        <f t="shared" si="107"/>
        <v>7</v>
      </c>
      <c r="H407" s="9" t="s">
        <v>92</v>
      </c>
      <c r="I407" s="9" t="s">
        <v>84</v>
      </c>
      <c r="J407" s="9" t="s">
        <v>33</v>
      </c>
      <c r="K407" s="9">
        <v>27.74</v>
      </c>
      <c r="L407" s="2">
        <v>7</v>
      </c>
      <c r="M407" s="2">
        <v>13</v>
      </c>
      <c r="N407" s="2">
        <v>300</v>
      </c>
      <c r="P407" s="4">
        <f t="shared" si="108"/>
        <v>0</v>
      </c>
    </row>
    <row r="408" spans="1:16" x14ac:dyDescent="0.25">
      <c r="A408" s="1" t="str">
        <f t="shared" si="109"/>
        <v>P205</v>
      </c>
      <c r="B408" s="1">
        <f t="shared" si="109"/>
        <v>205</v>
      </c>
      <c r="C408" s="1">
        <f t="shared" si="109"/>
        <v>2266</v>
      </c>
      <c r="D408" s="1">
        <f t="shared" si="109"/>
        <v>6</v>
      </c>
      <c r="E408" s="1">
        <f t="shared" si="109"/>
        <v>11</v>
      </c>
      <c r="F408" s="2">
        <f t="shared" si="107"/>
        <v>7</v>
      </c>
      <c r="H408" s="9" t="s">
        <v>92</v>
      </c>
      <c r="I408" s="9" t="s">
        <v>85</v>
      </c>
      <c r="J408" s="9" t="s">
        <v>33</v>
      </c>
      <c r="K408" s="9">
        <v>24.25</v>
      </c>
      <c r="L408" s="2">
        <v>6</v>
      </c>
      <c r="M408" s="2">
        <v>12</v>
      </c>
      <c r="N408" s="2">
        <v>300.02</v>
      </c>
      <c r="P408" s="4">
        <f t="shared" si="108"/>
        <v>0</v>
      </c>
    </row>
    <row r="409" spans="1:16" x14ac:dyDescent="0.25">
      <c r="A409" s="1" t="str">
        <f t="shared" si="109"/>
        <v>P205</v>
      </c>
      <c r="B409" s="1">
        <f t="shared" si="109"/>
        <v>205</v>
      </c>
      <c r="C409" s="1">
        <f t="shared" si="109"/>
        <v>2300</v>
      </c>
      <c r="D409" s="1">
        <f t="shared" si="109"/>
        <v>6</v>
      </c>
      <c r="E409" s="1">
        <f t="shared" si="109"/>
        <v>11</v>
      </c>
      <c r="F409" s="2">
        <f t="shared" si="107"/>
        <v>7</v>
      </c>
      <c r="H409" s="9" t="s">
        <v>92</v>
      </c>
      <c r="I409" s="9" t="s">
        <v>86</v>
      </c>
      <c r="J409" s="9" t="s">
        <v>33</v>
      </c>
      <c r="K409" s="9">
        <v>24.34</v>
      </c>
      <c r="L409" s="2">
        <v>6</v>
      </c>
      <c r="M409" s="2">
        <v>12</v>
      </c>
      <c r="N409" s="2">
        <v>300.04000000000002</v>
      </c>
      <c r="P409" s="4">
        <f t="shared" si="108"/>
        <v>0</v>
      </c>
    </row>
    <row r="410" spans="1:16" x14ac:dyDescent="0.25">
      <c r="A410" s="1" t="str">
        <f t="shared" si="109"/>
        <v>P205</v>
      </c>
      <c r="B410" s="1">
        <f t="shared" si="109"/>
        <v>205</v>
      </c>
      <c r="C410" s="1">
        <f t="shared" si="109"/>
        <v>2454</v>
      </c>
      <c r="D410" s="1">
        <f t="shared" si="109"/>
        <v>5</v>
      </c>
      <c r="E410" s="1">
        <f t="shared" si="109"/>
        <v>10</v>
      </c>
      <c r="F410" s="2">
        <f t="shared" si="107"/>
        <v>7</v>
      </c>
      <c r="H410" s="9" t="s">
        <v>92</v>
      </c>
      <c r="I410" s="9" t="s">
        <v>87</v>
      </c>
      <c r="J410" s="9" t="s">
        <v>33</v>
      </c>
      <c r="K410" s="9">
        <v>24.35</v>
      </c>
      <c r="L410" s="2">
        <v>6</v>
      </c>
      <c r="M410" s="2">
        <v>12</v>
      </c>
      <c r="N410" s="2">
        <v>300.04000000000002</v>
      </c>
      <c r="P410" s="4">
        <f t="shared" si="108"/>
        <v>0</v>
      </c>
    </row>
    <row r="411" spans="1:16" x14ac:dyDescent="0.25">
      <c r="A411" s="1" t="str">
        <f t="shared" si="109"/>
        <v>P205</v>
      </c>
      <c r="B411" s="1">
        <f t="shared" si="109"/>
        <v>205</v>
      </c>
      <c r="C411" s="1">
        <f t="shared" si="109"/>
        <v>2500</v>
      </c>
      <c r="D411" s="1">
        <f t="shared" si="109"/>
        <v>5</v>
      </c>
      <c r="E411" s="1">
        <f t="shared" si="109"/>
        <v>10</v>
      </c>
      <c r="F411" s="2">
        <f t="shared" si="107"/>
        <v>7</v>
      </c>
      <c r="H411" s="9" t="s">
        <v>92</v>
      </c>
      <c r="I411" s="9" t="s">
        <v>88</v>
      </c>
      <c r="J411" s="9" t="s">
        <v>33</v>
      </c>
      <c r="K411" s="9">
        <v>23.79</v>
      </c>
      <c r="L411" s="2">
        <v>6</v>
      </c>
      <c r="M411" s="2">
        <v>11</v>
      </c>
      <c r="N411" s="2">
        <v>300.05</v>
      </c>
      <c r="P411" s="4">
        <f t="shared" si="108"/>
        <v>0</v>
      </c>
    </row>
    <row r="412" spans="1:16" x14ac:dyDescent="0.25">
      <c r="A412" s="1" t="str">
        <f t="shared" si="109"/>
        <v>P205</v>
      </c>
      <c r="B412" s="1">
        <f t="shared" si="109"/>
        <v>205</v>
      </c>
      <c r="C412" s="1">
        <f t="shared" si="109"/>
        <v>2643</v>
      </c>
      <c r="D412" s="1">
        <f t="shared" si="109"/>
        <v>5</v>
      </c>
      <c r="E412" s="1">
        <f t="shared" si="109"/>
        <v>9</v>
      </c>
      <c r="F412" s="2">
        <f t="shared" si="107"/>
        <v>7</v>
      </c>
      <c r="H412" s="9" t="s">
        <v>92</v>
      </c>
      <c r="I412" s="9" t="s">
        <v>89</v>
      </c>
      <c r="J412" s="9" t="s">
        <v>33</v>
      </c>
      <c r="K412" s="9">
        <v>20.28</v>
      </c>
      <c r="L412" s="2">
        <v>5</v>
      </c>
      <c r="M412" s="2">
        <v>10</v>
      </c>
      <c r="N412" s="2">
        <v>300.02</v>
      </c>
      <c r="P412" s="4">
        <f t="shared" si="108"/>
        <v>0</v>
      </c>
    </row>
    <row r="413" spans="1:16" x14ac:dyDescent="0.25">
      <c r="A413" s="1" t="str">
        <f t="shared" ref="A413:E428" si="110">A354</f>
        <v>P205</v>
      </c>
      <c r="B413" s="1">
        <f t="shared" si="110"/>
        <v>205</v>
      </c>
      <c r="C413" s="1">
        <f t="shared" si="110"/>
        <v>2800</v>
      </c>
      <c r="D413" s="1">
        <f t="shared" si="110"/>
        <v>5</v>
      </c>
      <c r="E413" s="1">
        <f t="shared" si="110"/>
        <v>9</v>
      </c>
      <c r="F413" s="2">
        <f t="shared" si="107"/>
        <v>7</v>
      </c>
      <c r="H413" s="9" t="s">
        <v>92</v>
      </c>
      <c r="I413" s="9" t="s">
        <v>90</v>
      </c>
      <c r="J413" s="9" t="s">
        <v>33</v>
      </c>
      <c r="K413" s="9">
        <v>20.45</v>
      </c>
      <c r="L413" s="2">
        <v>5</v>
      </c>
      <c r="M413" s="2">
        <v>10</v>
      </c>
      <c r="N413" s="2">
        <v>300.02</v>
      </c>
      <c r="P413" s="4">
        <f t="shared" si="108"/>
        <v>0</v>
      </c>
    </row>
    <row r="414" spans="1:16" x14ac:dyDescent="0.25">
      <c r="A414" s="1" t="str">
        <f t="shared" si="110"/>
        <v>P205</v>
      </c>
      <c r="B414" s="1">
        <f t="shared" si="110"/>
        <v>205</v>
      </c>
      <c r="C414" s="1">
        <f t="shared" si="110"/>
        <v>2832</v>
      </c>
      <c r="D414" s="1">
        <f t="shared" si="110"/>
        <v>5</v>
      </c>
      <c r="E414" s="1">
        <f t="shared" si="110"/>
        <v>9</v>
      </c>
      <c r="F414" s="2">
        <f t="shared" si="107"/>
        <v>7</v>
      </c>
      <c r="H414" s="9" t="s">
        <v>92</v>
      </c>
      <c r="I414" s="9" t="s">
        <v>91</v>
      </c>
      <c r="J414" s="9" t="s">
        <v>33</v>
      </c>
      <c r="K414" s="9">
        <v>20.38</v>
      </c>
      <c r="L414" s="2">
        <v>5</v>
      </c>
      <c r="M414" s="2">
        <v>10</v>
      </c>
      <c r="N414" s="2">
        <v>300</v>
      </c>
      <c r="P414" s="4">
        <f t="shared" si="108"/>
        <v>0</v>
      </c>
    </row>
    <row r="415" spans="1:16" x14ac:dyDescent="0.25">
      <c r="A415" s="1" t="str">
        <f t="shared" si="110"/>
        <v>P9</v>
      </c>
      <c r="B415" s="1">
        <f t="shared" si="110"/>
        <v>9</v>
      </c>
      <c r="C415" s="1">
        <f t="shared" si="110"/>
        <v>3</v>
      </c>
      <c r="D415" s="1">
        <f t="shared" si="110"/>
        <v>3</v>
      </c>
      <c r="E415" s="1">
        <f t="shared" si="110"/>
        <v>6</v>
      </c>
      <c r="F415" s="2">
        <f t="shared" si="107"/>
        <v>8</v>
      </c>
      <c r="H415" s="9" t="s">
        <v>92</v>
      </c>
      <c r="I415" s="9" t="s">
        <v>32</v>
      </c>
      <c r="J415" s="9" t="s">
        <v>33</v>
      </c>
      <c r="K415" s="9">
        <v>12.17</v>
      </c>
      <c r="L415" s="2">
        <v>3</v>
      </c>
      <c r="M415" s="2">
        <v>6</v>
      </c>
      <c r="N415" s="2">
        <v>0</v>
      </c>
      <c r="P415" s="4">
        <f t="shared" si="108"/>
        <v>1</v>
      </c>
    </row>
    <row r="416" spans="1:16" x14ac:dyDescent="0.25">
      <c r="A416" s="1" t="str">
        <f t="shared" si="110"/>
        <v>P9</v>
      </c>
      <c r="B416" s="1">
        <f t="shared" si="110"/>
        <v>9</v>
      </c>
      <c r="C416" s="1">
        <f t="shared" si="110"/>
        <v>4</v>
      </c>
      <c r="D416" s="1">
        <f t="shared" si="110"/>
        <v>3</v>
      </c>
      <c r="E416" s="1">
        <f t="shared" si="110"/>
        <v>5</v>
      </c>
      <c r="F416" s="2">
        <f t="shared" si="107"/>
        <v>8</v>
      </c>
      <c r="H416" s="9" t="s">
        <v>92</v>
      </c>
      <c r="I416" s="9" t="s">
        <v>34</v>
      </c>
      <c r="J416" s="9" t="s">
        <v>33</v>
      </c>
      <c r="K416" s="9">
        <v>11.42</v>
      </c>
      <c r="L416" s="2">
        <v>3</v>
      </c>
      <c r="M416" s="2">
        <v>5</v>
      </c>
      <c r="N416" s="2">
        <v>0</v>
      </c>
      <c r="P416" s="4">
        <f t="shared" si="108"/>
        <v>1</v>
      </c>
    </row>
    <row r="417" spans="1:16" x14ac:dyDescent="0.25">
      <c r="A417" s="1" t="str">
        <f t="shared" si="110"/>
        <v>P9</v>
      </c>
      <c r="B417" s="1">
        <f t="shared" si="110"/>
        <v>9</v>
      </c>
      <c r="C417" s="1">
        <f t="shared" si="110"/>
        <v>5</v>
      </c>
      <c r="D417" s="1">
        <f t="shared" si="110"/>
        <v>2</v>
      </c>
      <c r="E417" s="1">
        <f t="shared" si="110"/>
        <v>4</v>
      </c>
      <c r="F417" s="2">
        <f t="shared" si="107"/>
        <v>8</v>
      </c>
      <c r="H417" s="9" t="s">
        <v>92</v>
      </c>
      <c r="I417" s="9" t="s">
        <v>35</v>
      </c>
      <c r="J417" s="9" t="s">
        <v>33</v>
      </c>
      <c r="K417" s="9">
        <v>8.15</v>
      </c>
      <c r="L417" s="2">
        <v>2</v>
      </c>
      <c r="M417" s="2">
        <v>4</v>
      </c>
      <c r="N417" s="2">
        <v>0</v>
      </c>
      <c r="P417" s="4">
        <f t="shared" si="108"/>
        <v>1</v>
      </c>
    </row>
    <row r="418" spans="1:16" x14ac:dyDescent="0.25">
      <c r="A418" s="1" t="str">
        <f t="shared" si="110"/>
        <v>P9</v>
      </c>
      <c r="B418" s="1">
        <f t="shared" si="110"/>
        <v>9</v>
      </c>
      <c r="C418" s="1">
        <f t="shared" si="110"/>
        <v>6</v>
      </c>
      <c r="D418" s="1">
        <f t="shared" si="110"/>
        <v>2</v>
      </c>
      <c r="E418" s="1">
        <f t="shared" si="110"/>
        <v>3</v>
      </c>
      <c r="F418" s="2">
        <f t="shared" si="107"/>
        <v>8</v>
      </c>
      <c r="H418" s="9" t="s">
        <v>92</v>
      </c>
      <c r="I418" s="9" t="s">
        <v>36</v>
      </c>
      <c r="J418" s="9" t="s">
        <v>33</v>
      </c>
      <c r="K418" s="9">
        <v>7.29</v>
      </c>
      <c r="L418" s="2">
        <v>2</v>
      </c>
      <c r="M418" s="2">
        <v>3</v>
      </c>
      <c r="N418" s="2">
        <v>0</v>
      </c>
      <c r="P418" s="4">
        <f t="shared" si="108"/>
        <v>1</v>
      </c>
    </row>
    <row r="419" spans="1:16" x14ac:dyDescent="0.25">
      <c r="A419" s="1" t="str">
        <f t="shared" si="110"/>
        <v>P9</v>
      </c>
      <c r="B419" s="1">
        <f t="shared" si="110"/>
        <v>9</v>
      </c>
      <c r="C419" s="1">
        <f t="shared" si="110"/>
        <v>7</v>
      </c>
      <c r="D419" s="1">
        <f t="shared" si="110"/>
        <v>2</v>
      </c>
      <c r="E419" s="1">
        <f t="shared" si="110"/>
        <v>3</v>
      </c>
      <c r="F419" s="2">
        <f t="shared" si="107"/>
        <v>8</v>
      </c>
      <c r="H419" s="9" t="s">
        <v>92</v>
      </c>
      <c r="I419" s="9" t="s">
        <v>37</v>
      </c>
      <c r="J419" s="9" t="s">
        <v>33</v>
      </c>
      <c r="K419" s="9">
        <v>7.39</v>
      </c>
      <c r="L419" s="2">
        <v>2</v>
      </c>
      <c r="M419" s="2">
        <v>3</v>
      </c>
      <c r="N419" s="2">
        <v>0</v>
      </c>
      <c r="P419" s="4">
        <f t="shared" si="108"/>
        <v>1</v>
      </c>
    </row>
    <row r="420" spans="1:16" x14ac:dyDescent="0.25">
      <c r="A420" s="1" t="str">
        <f t="shared" si="110"/>
        <v>P12</v>
      </c>
      <c r="B420" s="1">
        <f t="shared" si="110"/>
        <v>12</v>
      </c>
      <c r="C420" s="1">
        <f t="shared" si="110"/>
        <v>4</v>
      </c>
      <c r="D420" s="1">
        <f t="shared" si="110"/>
        <v>4</v>
      </c>
      <c r="E420" s="1">
        <f t="shared" si="110"/>
        <v>7</v>
      </c>
      <c r="F420" s="2">
        <f t="shared" si="107"/>
        <v>8</v>
      </c>
      <c r="H420" s="9" t="s">
        <v>92</v>
      </c>
      <c r="I420" s="9" t="s">
        <v>38</v>
      </c>
      <c r="J420" s="9" t="s">
        <v>33</v>
      </c>
      <c r="K420" s="9">
        <v>15.31</v>
      </c>
      <c r="L420" s="2">
        <v>4</v>
      </c>
      <c r="M420" s="2">
        <v>7</v>
      </c>
      <c r="N420" s="2">
        <v>0</v>
      </c>
      <c r="P420" s="4">
        <f t="shared" si="108"/>
        <v>1</v>
      </c>
    </row>
    <row r="421" spans="1:16" x14ac:dyDescent="0.25">
      <c r="A421" s="1" t="str">
        <f t="shared" si="110"/>
        <v>P12</v>
      </c>
      <c r="B421" s="1">
        <f t="shared" si="110"/>
        <v>12</v>
      </c>
      <c r="C421" s="1">
        <f t="shared" si="110"/>
        <v>5</v>
      </c>
      <c r="D421" s="1">
        <f t="shared" si="110"/>
        <v>3</v>
      </c>
      <c r="E421" s="1">
        <f t="shared" si="110"/>
        <v>6</v>
      </c>
      <c r="F421" s="2">
        <f t="shared" si="107"/>
        <v>8</v>
      </c>
      <c r="H421" s="9" t="s">
        <v>92</v>
      </c>
      <c r="I421" s="9" t="s">
        <v>39</v>
      </c>
      <c r="J421" s="9" t="s">
        <v>33</v>
      </c>
      <c r="K421" s="9">
        <v>12.23</v>
      </c>
      <c r="L421" s="2">
        <v>3</v>
      </c>
      <c r="M421" s="2">
        <v>6</v>
      </c>
      <c r="N421" s="2">
        <v>300</v>
      </c>
      <c r="P421" s="4">
        <f t="shared" si="108"/>
        <v>1</v>
      </c>
    </row>
    <row r="422" spans="1:16" x14ac:dyDescent="0.25">
      <c r="A422" s="1" t="str">
        <f t="shared" si="110"/>
        <v>P12</v>
      </c>
      <c r="B422" s="1">
        <f t="shared" si="110"/>
        <v>12</v>
      </c>
      <c r="C422" s="1">
        <f t="shared" si="110"/>
        <v>6</v>
      </c>
      <c r="D422" s="1">
        <f t="shared" si="110"/>
        <v>3</v>
      </c>
      <c r="E422" s="1">
        <f t="shared" si="110"/>
        <v>5</v>
      </c>
      <c r="F422" s="2">
        <f t="shared" si="107"/>
        <v>8</v>
      </c>
      <c r="H422" s="9" t="s">
        <v>92</v>
      </c>
      <c r="I422" s="9" t="s">
        <v>40</v>
      </c>
      <c r="J422" s="9" t="s">
        <v>33</v>
      </c>
      <c r="K422" s="9">
        <v>11.33</v>
      </c>
      <c r="L422" s="2">
        <v>3</v>
      </c>
      <c r="M422" s="2">
        <v>5</v>
      </c>
      <c r="N422" s="2">
        <v>0</v>
      </c>
      <c r="P422" s="4">
        <f t="shared" si="108"/>
        <v>1</v>
      </c>
    </row>
    <row r="423" spans="1:16" x14ac:dyDescent="0.25">
      <c r="A423" s="1" t="str">
        <f t="shared" si="110"/>
        <v>P12</v>
      </c>
      <c r="B423" s="1">
        <f t="shared" si="110"/>
        <v>12</v>
      </c>
      <c r="C423" s="1">
        <f t="shared" si="110"/>
        <v>7</v>
      </c>
      <c r="D423" s="1">
        <f t="shared" si="110"/>
        <v>2</v>
      </c>
      <c r="E423" s="1">
        <f t="shared" si="110"/>
        <v>4</v>
      </c>
      <c r="F423" s="2">
        <f t="shared" si="107"/>
        <v>8</v>
      </c>
      <c r="H423" s="9" t="s">
        <v>92</v>
      </c>
      <c r="I423" s="9" t="s">
        <v>41</v>
      </c>
      <c r="J423" s="9" t="s">
        <v>33</v>
      </c>
      <c r="K423" s="9">
        <v>8.11</v>
      </c>
      <c r="L423" s="2">
        <v>2</v>
      </c>
      <c r="M423" s="2">
        <v>4</v>
      </c>
      <c r="N423" s="2">
        <v>0</v>
      </c>
      <c r="P423" s="4">
        <f t="shared" si="108"/>
        <v>1</v>
      </c>
    </row>
    <row r="424" spans="1:16" x14ac:dyDescent="0.25">
      <c r="A424" s="1" t="str">
        <f t="shared" si="110"/>
        <v>P12</v>
      </c>
      <c r="B424" s="1">
        <f t="shared" si="110"/>
        <v>12</v>
      </c>
      <c r="C424" s="1">
        <f t="shared" si="110"/>
        <v>8</v>
      </c>
      <c r="D424" s="1">
        <f t="shared" si="110"/>
        <v>2</v>
      </c>
      <c r="E424" s="1">
        <f t="shared" si="110"/>
        <v>4</v>
      </c>
      <c r="F424" s="2">
        <f t="shared" si="107"/>
        <v>8</v>
      </c>
      <c r="H424" s="9" t="s">
        <v>92</v>
      </c>
      <c r="I424" s="9" t="s">
        <v>42</v>
      </c>
      <c r="J424" s="9" t="s">
        <v>33</v>
      </c>
      <c r="K424" s="9">
        <v>8.2200000000000006</v>
      </c>
      <c r="L424" s="2">
        <v>2</v>
      </c>
      <c r="M424" s="2">
        <v>4</v>
      </c>
      <c r="N424" s="2">
        <v>0.01</v>
      </c>
      <c r="P424" s="4">
        <f t="shared" si="108"/>
        <v>1</v>
      </c>
    </row>
    <row r="425" spans="1:16" x14ac:dyDescent="0.25">
      <c r="A425" s="1" t="str">
        <f t="shared" si="110"/>
        <v>P12</v>
      </c>
      <c r="B425" s="1">
        <f t="shared" si="110"/>
        <v>12</v>
      </c>
      <c r="C425" s="1">
        <f t="shared" si="110"/>
        <v>9</v>
      </c>
      <c r="D425" s="1">
        <f t="shared" si="110"/>
        <v>2</v>
      </c>
      <c r="E425" s="1">
        <f t="shared" si="110"/>
        <v>3</v>
      </c>
      <c r="F425" s="2">
        <f t="shared" si="107"/>
        <v>8</v>
      </c>
      <c r="H425" s="9" t="s">
        <v>92</v>
      </c>
      <c r="I425" s="9" t="s">
        <v>43</v>
      </c>
      <c r="J425" s="9" t="s">
        <v>33</v>
      </c>
      <c r="K425" s="9">
        <v>7.31</v>
      </c>
      <c r="L425" s="2">
        <v>2</v>
      </c>
      <c r="M425" s="2">
        <v>3</v>
      </c>
      <c r="N425" s="2">
        <v>0</v>
      </c>
      <c r="P425" s="4">
        <f t="shared" si="108"/>
        <v>1</v>
      </c>
    </row>
    <row r="426" spans="1:16" x14ac:dyDescent="0.25">
      <c r="A426" s="1" t="str">
        <f t="shared" si="110"/>
        <v>P16</v>
      </c>
      <c r="B426" s="1">
        <f t="shared" si="110"/>
        <v>16</v>
      </c>
      <c r="C426" s="1">
        <f t="shared" si="110"/>
        <v>15</v>
      </c>
      <c r="D426" s="1">
        <f t="shared" si="110"/>
        <v>4</v>
      </c>
      <c r="E426" s="1">
        <f t="shared" si="110"/>
        <v>6</v>
      </c>
      <c r="F426" s="2">
        <f t="shared" si="107"/>
        <v>8</v>
      </c>
      <c r="H426" s="9" t="s">
        <v>92</v>
      </c>
      <c r="I426" s="9" t="s">
        <v>44</v>
      </c>
      <c r="J426" s="9" t="s">
        <v>33</v>
      </c>
      <c r="K426" s="9">
        <v>14.68</v>
      </c>
      <c r="L426" s="2">
        <v>4</v>
      </c>
      <c r="M426" s="2">
        <v>6</v>
      </c>
      <c r="N426" s="2">
        <v>300</v>
      </c>
      <c r="P426" s="4">
        <f t="shared" si="108"/>
        <v>1</v>
      </c>
    </row>
    <row r="427" spans="1:16" x14ac:dyDescent="0.25">
      <c r="A427" s="1" t="str">
        <f t="shared" si="110"/>
        <v>P16</v>
      </c>
      <c r="B427" s="1">
        <f t="shared" si="110"/>
        <v>16</v>
      </c>
      <c r="C427" s="1">
        <f t="shared" si="110"/>
        <v>16</v>
      </c>
      <c r="D427" s="1">
        <f t="shared" si="110"/>
        <v>3</v>
      </c>
      <c r="E427" s="1">
        <f t="shared" si="110"/>
        <v>6</v>
      </c>
      <c r="F427" s="2">
        <f t="shared" si="107"/>
        <v>8</v>
      </c>
      <c r="H427" s="9" t="s">
        <v>92</v>
      </c>
      <c r="I427" s="9" t="s">
        <v>45</v>
      </c>
      <c r="J427" s="9" t="s">
        <v>33</v>
      </c>
      <c r="K427" s="9">
        <v>12.29</v>
      </c>
      <c r="L427" s="2">
        <v>3</v>
      </c>
      <c r="M427" s="2">
        <v>6</v>
      </c>
      <c r="N427" s="2">
        <v>0</v>
      </c>
      <c r="P427" s="4">
        <f t="shared" si="108"/>
        <v>1</v>
      </c>
    </row>
    <row r="428" spans="1:16" x14ac:dyDescent="0.25">
      <c r="A428" s="1" t="str">
        <f t="shared" si="110"/>
        <v>P16</v>
      </c>
      <c r="B428" s="1">
        <f t="shared" si="110"/>
        <v>16</v>
      </c>
      <c r="C428" s="1">
        <f t="shared" si="110"/>
        <v>18</v>
      </c>
      <c r="D428" s="1">
        <f t="shared" si="110"/>
        <v>3</v>
      </c>
      <c r="E428" s="1">
        <f t="shared" si="110"/>
        <v>6</v>
      </c>
      <c r="F428" s="2">
        <f t="shared" si="107"/>
        <v>8</v>
      </c>
      <c r="H428" s="9" t="s">
        <v>92</v>
      </c>
      <c r="I428" s="9" t="s">
        <v>46</v>
      </c>
      <c r="J428" s="9" t="s">
        <v>33</v>
      </c>
      <c r="K428" s="9">
        <v>12.41</v>
      </c>
      <c r="L428" s="2">
        <v>3</v>
      </c>
      <c r="M428" s="2">
        <v>6</v>
      </c>
      <c r="N428" s="2">
        <v>300</v>
      </c>
      <c r="P428" s="4">
        <f t="shared" si="108"/>
        <v>1</v>
      </c>
    </row>
    <row r="429" spans="1:16" x14ac:dyDescent="0.25">
      <c r="A429" s="1" t="str">
        <f t="shared" ref="A429:E444" si="111">A370</f>
        <v>P16</v>
      </c>
      <c r="B429" s="1">
        <f t="shared" si="111"/>
        <v>16</v>
      </c>
      <c r="C429" s="1">
        <f t="shared" si="111"/>
        <v>19</v>
      </c>
      <c r="D429" s="1">
        <f t="shared" si="111"/>
        <v>3</v>
      </c>
      <c r="E429" s="1">
        <f t="shared" si="111"/>
        <v>5</v>
      </c>
      <c r="F429" s="2">
        <f t="shared" si="107"/>
        <v>8</v>
      </c>
      <c r="H429" s="9" t="s">
        <v>92</v>
      </c>
      <c r="I429" s="9" t="s">
        <v>47</v>
      </c>
      <c r="J429" s="9" t="s">
        <v>33</v>
      </c>
      <c r="K429" s="9">
        <v>12.49</v>
      </c>
      <c r="L429" s="2">
        <v>3</v>
      </c>
      <c r="M429" s="2">
        <v>6</v>
      </c>
      <c r="N429" s="2">
        <v>300</v>
      </c>
      <c r="P429" s="4">
        <f t="shared" si="108"/>
        <v>0</v>
      </c>
    </row>
    <row r="430" spans="1:16" x14ac:dyDescent="0.25">
      <c r="A430" s="1" t="str">
        <f t="shared" si="111"/>
        <v>P16</v>
      </c>
      <c r="B430" s="1">
        <f t="shared" si="111"/>
        <v>16</v>
      </c>
      <c r="C430" s="1">
        <f t="shared" si="111"/>
        <v>20</v>
      </c>
      <c r="D430" s="1">
        <f t="shared" si="111"/>
        <v>3</v>
      </c>
      <c r="E430" s="1">
        <f t="shared" si="111"/>
        <v>5</v>
      </c>
      <c r="F430" s="2">
        <f t="shared" si="107"/>
        <v>8</v>
      </c>
      <c r="H430" s="9" t="s">
        <v>92</v>
      </c>
      <c r="I430" s="9" t="s">
        <v>48</v>
      </c>
      <c r="J430" s="9" t="s">
        <v>33</v>
      </c>
      <c r="K430" s="9">
        <v>12.57</v>
      </c>
      <c r="L430" s="2">
        <v>3</v>
      </c>
      <c r="M430" s="2">
        <v>6</v>
      </c>
      <c r="N430" s="2">
        <v>300</v>
      </c>
      <c r="P430" s="4">
        <f t="shared" si="108"/>
        <v>0</v>
      </c>
    </row>
    <row r="431" spans="1:16" x14ac:dyDescent="0.25">
      <c r="A431" s="1" t="str">
        <f t="shared" si="111"/>
        <v>P16</v>
      </c>
      <c r="B431" s="1">
        <f t="shared" si="111"/>
        <v>16</v>
      </c>
      <c r="C431" s="1">
        <f t="shared" si="111"/>
        <v>21</v>
      </c>
      <c r="D431" s="1">
        <f t="shared" si="111"/>
        <v>3</v>
      </c>
      <c r="E431" s="1">
        <f t="shared" si="111"/>
        <v>5</v>
      </c>
      <c r="F431" s="2">
        <f t="shared" si="107"/>
        <v>8</v>
      </c>
      <c r="H431" s="9" t="s">
        <v>92</v>
      </c>
      <c r="I431" s="9" t="s">
        <v>49</v>
      </c>
      <c r="J431" s="9" t="s">
        <v>33</v>
      </c>
      <c r="K431" s="9">
        <v>11.57</v>
      </c>
      <c r="L431" s="2">
        <v>3</v>
      </c>
      <c r="M431" s="2">
        <v>5</v>
      </c>
      <c r="N431" s="2">
        <v>300</v>
      </c>
      <c r="P431" s="4">
        <f t="shared" si="108"/>
        <v>1</v>
      </c>
    </row>
    <row r="432" spans="1:16" x14ac:dyDescent="0.25">
      <c r="A432" s="1" t="str">
        <f t="shared" si="111"/>
        <v>P16</v>
      </c>
      <c r="B432" s="1">
        <f t="shared" si="111"/>
        <v>16</v>
      </c>
      <c r="C432" s="1">
        <f t="shared" si="111"/>
        <v>22</v>
      </c>
      <c r="D432" s="1">
        <f t="shared" si="111"/>
        <v>2</v>
      </c>
      <c r="E432" s="1">
        <f t="shared" si="111"/>
        <v>4</v>
      </c>
      <c r="F432" s="2">
        <f t="shared" si="107"/>
        <v>8</v>
      </c>
      <c r="H432" s="9" t="s">
        <v>92</v>
      </c>
      <c r="I432" s="9" t="s">
        <v>50</v>
      </c>
      <c r="J432" s="9" t="s">
        <v>33</v>
      </c>
      <c r="K432" s="9">
        <v>8.1</v>
      </c>
      <c r="L432" s="2">
        <v>2</v>
      </c>
      <c r="M432" s="2">
        <v>4</v>
      </c>
      <c r="N432" s="2">
        <v>0</v>
      </c>
      <c r="P432" s="4">
        <f t="shared" si="108"/>
        <v>1</v>
      </c>
    </row>
    <row r="433" spans="1:16" x14ac:dyDescent="0.25">
      <c r="A433" s="1" t="str">
        <f t="shared" si="111"/>
        <v>P24</v>
      </c>
      <c r="B433" s="1">
        <f t="shared" si="111"/>
        <v>24</v>
      </c>
      <c r="C433" s="1">
        <f t="shared" si="111"/>
        <v>18</v>
      </c>
      <c r="D433" s="1">
        <f t="shared" si="111"/>
        <v>4</v>
      </c>
      <c r="E433" s="1">
        <f t="shared" si="111"/>
        <v>8</v>
      </c>
      <c r="F433" s="2">
        <f t="shared" si="107"/>
        <v>8</v>
      </c>
      <c r="H433" s="9" t="s">
        <v>92</v>
      </c>
      <c r="I433" s="9" t="s">
        <v>51</v>
      </c>
      <c r="J433" s="9" t="s">
        <v>33</v>
      </c>
      <c r="K433" s="9">
        <v>16.079999999999998</v>
      </c>
      <c r="L433" s="2">
        <v>4</v>
      </c>
      <c r="M433" s="2">
        <v>8</v>
      </c>
      <c r="N433" s="2">
        <v>0.01</v>
      </c>
      <c r="P433" s="4">
        <f t="shared" si="108"/>
        <v>1</v>
      </c>
    </row>
    <row r="434" spans="1:16" x14ac:dyDescent="0.25">
      <c r="A434" s="1" t="str">
        <f t="shared" si="111"/>
        <v>P24</v>
      </c>
      <c r="B434" s="1">
        <f t="shared" si="111"/>
        <v>24</v>
      </c>
      <c r="C434" s="1">
        <f t="shared" si="111"/>
        <v>20</v>
      </c>
      <c r="D434" s="1">
        <f t="shared" si="111"/>
        <v>4</v>
      </c>
      <c r="E434" s="1">
        <f t="shared" si="111"/>
        <v>7</v>
      </c>
      <c r="F434" s="2">
        <f t="shared" si="107"/>
        <v>8</v>
      </c>
      <c r="H434" s="9" t="s">
        <v>92</v>
      </c>
      <c r="I434" s="9" t="s">
        <v>52</v>
      </c>
      <c r="J434" s="9" t="s">
        <v>33</v>
      </c>
      <c r="K434" s="9">
        <v>16.16</v>
      </c>
      <c r="L434" s="2">
        <v>4</v>
      </c>
      <c r="M434" s="2">
        <v>8</v>
      </c>
      <c r="N434" s="2">
        <v>300</v>
      </c>
      <c r="P434" s="4">
        <f t="shared" si="108"/>
        <v>0</v>
      </c>
    </row>
    <row r="435" spans="1:16" x14ac:dyDescent="0.25">
      <c r="A435" s="1" t="str">
        <f t="shared" si="111"/>
        <v>P24</v>
      </c>
      <c r="B435" s="1">
        <f t="shared" si="111"/>
        <v>24</v>
      </c>
      <c r="C435" s="1">
        <f t="shared" si="111"/>
        <v>24</v>
      </c>
      <c r="D435" s="1">
        <f t="shared" si="111"/>
        <v>3</v>
      </c>
      <c r="E435" s="1">
        <f t="shared" si="111"/>
        <v>6</v>
      </c>
      <c r="F435" s="2">
        <f t="shared" si="107"/>
        <v>8</v>
      </c>
      <c r="H435" s="9" t="s">
        <v>92</v>
      </c>
      <c r="I435" s="9" t="s">
        <v>53</v>
      </c>
      <c r="J435" s="9" t="s">
        <v>33</v>
      </c>
      <c r="K435" s="9">
        <v>12.04</v>
      </c>
      <c r="L435" s="2">
        <v>3</v>
      </c>
      <c r="M435" s="2">
        <v>6</v>
      </c>
      <c r="N435" s="2">
        <v>0.46</v>
      </c>
      <c r="P435" s="4">
        <f t="shared" si="108"/>
        <v>1</v>
      </c>
    </row>
    <row r="436" spans="1:16" x14ac:dyDescent="0.25">
      <c r="A436" s="1" t="str">
        <f t="shared" si="111"/>
        <v>P24</v>
      </c>
      <c r="B436" s="1">
        <f t="shared" si="111"/>
        <v>24</v>
      </c>
      <c r="C436" s="1">
        <f t="shared" si="111"/>
        <v>25</v>
      </c>
      <c r="D436" s="1">
        <f t="shared" si="111"/>
        <v>3</v>
      </c>
      <c r="E436" s="1">
        <f t="shared" si="111"/>
        <v>6</v>
      </c>
      <c r="F436" s="2">
        <f t="shared" si="107"/>
        <v>8</v>
      </c>
      <c r="H436" s="9" t="s">
        <v>92</v>
      </c>
      <c r="I436" s="9" t="s">
        <v>54</v>
      </c>
      <c r="J436" s="9" t="s">
        <v>33</v>
      </c>
      <c r="K436" s="9">
        <v>12.11</v>
      </c>
      <c r="L436" s="2">
        <v>3</v>
      </c>
      <c r="M436" s="2">
        <v>6</v>
      </c>
      <c r="N436" s="2">
        <v>0</v>
      </c>
      <c r="P436" s="4">
        <f t="shared" si="108"/>
        <v>1</v>
      </c>
    </row>
    <row r="437" spans="1:16" x14ac:dyDescent="0.25">
      <c r="A437" s="1" t="str">
        <f t="shared" si="111"/>
        <v>P24</v>
      </c>
      <c r="B437" s="1">
        <f t="shared" si="111"/>
        <v>24</v>
      </c>
      <c r="C437" s="1">
        <f t="shared" si="111"/>
        <v>30</v>
      </c>
      <c r="D437" s="1">
        <f t="shared" si="111"/>
        <v>3</v>
      </c>
      <c r="E437" s="1">
        <f t="shared" si="111"/>
        <v>5</v>
      </c>
      <c r="F437" s="2">
        <f t="shared" si="107"/>
        <v>8</v>
      </c>
      <c r="H437" s="9" t="s">
        <v>92</v>
      </c>
      <c r="I437" s="9" t="s">
        <v>55</v>
      </c>
      <c r="J437" s="9" t="s">
        <v>33</v>
      </c>
      <c r="K437" s="9">
        <v>11.26</v>
      </c>
      <c r="L437" s="2">
        <v>3</v>
      </c>
      <c r="M437" s="2">
        <v>5</v>
      </c>
      <c r="N437" s="2">
        <v>0</v>
      </c>
      <c r="P437" s="4">
        <f t="shared" si="108"/>
        <v>1</v>
      </c>
    </row>
    <row r="438" spans="1:16" x14ac:dyDescent="0.25">
      <c r="A438" s="1" t="str">
        <f t="shared" si="111"/>
        <v>P24</v>
      </c>
      <c r="B438" s="1">
        <f t="shared" si="111"/>
        <v>24</v>
      </c>
      <c r="C438" s="1">
        <f t="shared" si="111"/>
        <v>35</v>
      </c>
      <c r="D438" s="1">
        <f t="shared" si="111"/>
        <v>2</v>
      </c>
      <c r="E438" s="1">
        <f t="shared" si="111"/>
        <v>4</v>
      </c>
      <c r="F438" s="2">
        <f t="shared" si="107"/>
        <v>8</v>
      </c>
      <c r="H438" s="9" t="s">
        <v>92</v>
      </c>
      <c r="I438" s="9" t="s">
        <v>56</v>
      </c>
      <c r="J438" s="9" t="s">
        <v>33</v>
      </c>
      <c r="K438" s="9">
        <v>8</v>
      </c>
      <c r="L438" s="2">
        <v>2</v>
      </c>
      <c r="M438" s="2">
        <v>4</v>
      </c>
      <c r="N438" s="2">
        <v>0</v>
      </c>
      <c r="P438" s="4">
        <f t="shared" si="108"/>
        <v>1</v>
      </c>
    </row>
    <row r="439" spans="1:16" x14ac:dyDescent="0.25">
      <c r="A439" s="1" t="str">
        <f t="shared" si="111"/>
        <v>P24</v>
      </c>
      <c r="B439" s="1">
        <f t="shared" si="111"/>
        <v>24</v>
      </c>
      <c r="C439" s="1">
        <f t="shared" si="111"/>
        <v>40</v>
      </c>
      <c r="D439" s="1">
        <f t="shared" si="111"/>
        <v>2</v>
      </c>
      <c r="E439" s="1">
        <f t="shared" si="111"/>
        <v>4</v>
      </c>
      <c r="F439" s="2">
        <f t="shared" si="107"/>
        <v>8</v>
      </c>
      <c r="H439" s="9" t="s">
        <v>92</v>
      </c>
      <c r="I439" s="9" t="s">
        <v>57</v>
      </c>
      <c r="J439" s="9" t="s">
        <v>33</v>
      </c>
      <c r="K439" s="9">
        <v>8.1300000000000008</v>
      </c>
      <c r="L439" s="2">
        <v>2</v>
      </c>
      <c r="M439" s="2">
        <v>4</v>
      </c>
      <c r="N439" s="2">
        <v>0.01</v>
      </c>
      <c r="P439" s="4">
        <f t="shared" si="108"/>
        <v>1</v>
      </c>
    </row>
    <row r="440" spans="1:16" x14ac:dyDescent="0.25">
      <c r="A440" s="1" t="str">
        <f t="shared" si="111"/>
        <v>P65</v>
      </c>
      <c r="B440" s="1">
        <f t="shared" si="111"/>
        <v>65</v>
      </c>
      <c r="C440" s="1">
        <f t="shared" si="111"/>
        <v>326</v>
      </c>
      <c r="D440" s="1">
        <f t="shared" si="111"/>
        <v>8</v>
      </c>
      <c r="E440" s="1">
        <f t="shared" si="111"/>
        <v>16</v>
      </c>
      <c r="F440" s="2">
        <f t="shared" si="107"/>
        <v>8</v>
      </c>
      <c r="H440" s="9" t="s">
        <v>92</v>
      </c>
      <c r="I440" s="9" t="s">
        <v>58</v>
      </c>
      <c r="J440" s="9" t="s">
        <v>33</v>
      </c>
      <c r="K440" s="9">
        <v>35.22</v>
      </c>
      <c r="L440" s="2">
        <v>9</v>
      </c>
      <c r="M440" s="2">
        <v>17</v>
      </c>
      <c r="N440" s="2">
        <v>300.01</v>
      </c>
      <c r="P440" s="4">
        <f t="shared" si="108"/>
        <v>0</v>
      </c>
    </row>
    <row r="441" spans="1:16" x14ac:dyDescent="0.25">
      <c r="A441" s="1" t="str">
        <f t="shared" si="111"/>
        <v>P65</v>
      </c>
      <c r="B441" s="1">
        <f t="shared" si="111"/>
        <v>65</v>
      </c>
      <c r="C441" s="1">
        <f t="shared" si="111"/>
        <v>381</v>
      </c>
      <c r="D441" s="1">
        <f t="shared" si="111"/>
        <v>7</v>
      </c>
      <c r="E441" s="1">
        <f t="shared" si="111"/>
        <v>14</v>
      </c>
      <c r="F441" s="2">
        <f t="shared" si="107"/>
        <v>8</v>
      </c>
      <c r="H441" s="9" t="s">
        <v>92</v>
      </c>
      <c r="I441" s="9" t="s">
        <v>59</v>
      </c>
      <c r="J441" s="9" t="s">
        <v>33</v>
      </c>
      <c r="K441" s="9">
        <v>28.14</v>
      </c>
      <c r="L441" s="2">
        <v>7</v>
      </c>
      <c r="M441" s="2">
        <v>14</v>
      </c>
      <c r="N441" s="2">
        <v>0.08</v>
      </c>
      <c r="P441" s="4">
        <f t="shared" si="108"/>
        <v>1</v>
      </c>
    </row>
    <row r="442" spans="1:16" x14ac:dyDescent="0.25">
      <c r="A442" s="1" t="str">
        <f t="shared" si="111"/>
        <v>P65</v>
      </c>
      <c r="B442" s="1">
        <f t="shared" si="111"/>
        <v>65</v>
      </c>
      <c r="C442" s="1">
        <f t="shared" si="111"/>
        <v>435</v>
      </c>
      <c r="D442" s="1">
        <f t="shared" si="111"/>
        <v>6</v>
      </c>
      <c r="E442" s="1">
        <f t="shared" si="111"/>
        <v>12</v>
      </c>
      <c r="F442" s="2">
        <f t="shared" si="107"/>
        <v>8</v>
      </c>
      <c r="H442" s="9" t="s">
        <v>92</v>
      </c>
      <c r="I442" s="9" t="s">
        <v>60</v>
      </c>
      <c r="J442" s="9" t="s">
        <v>33</v>
      </c>
      <c r="K442" s="9">
        <v>24.07</v>
      </c>
      <c r="L442" s="2">
        <v>6</v>
      </c>
      <c r="M442" s="2">
        <v>12</v>
      </c>
      <c r="N442" s="2">
        <v>0.1</v>
      </c>
      <c r="P442" s="4">
        <f t="shared" si="108"/>
        <v>1</v>
      </c>
    </row>
    <row r="443" spans="1:16" x14ac:dyDescent="0.25">
      <c r="A443" s="1" t="str">
        <f t="shared" si="111"/>
        <v>P65</v>
      </c>
      <c r="B443" s="1">
        <f t="shared" si="111"/>
        <v>65</v>
      </c>
      <c r="C443" s="1">
        <f t="shared" si="111"/>
        <v>490</v>
      </c>
      <c r="D443" s="1">
        <f t="shared" si="111"/>
        <v>6</v>
      </c>
      <c r="E443" s="1">
        <f t="shared" si="111"/>
        <v>11</v>
      </c>
      <c r="F443" s="2">
        <f t="shared" si="107"/>
        <v>8</v>
      </c>
      <c r="H443" s="9" t="s">
        <v>92</v>
      </c>
      <c r="I443" s="9" t="s">
        <v>61</v>
      </c>
      <c r="J443" s="9" t="s">
        <v>33</v>
      </c>
      <c r="K443" s="9">
        <v>23.19</v>
      </c>
      <c r="L443" s="2">
        <v>6</v>
      </c>
      <c r="M443" s="2">
        <v>11</v>
      </c>
      <c r="N443" s="2">
        <v>0.03</v>
      </c>
      <c r="P443" s="4">
        <f t="shared" si="108"/>
        <v>1</v>
      </c>
    </row>
    <row r="444" spans="1:16" x14ac:dyDescent="0.25">
      <c r="A444" s="1" t="str">
        <f t="shared" si="111"/>
        <v>P65</v>
      </c>
      <c r="B444" s="1">
        <f t="shared" si="111"/>
        <v>65</v>
      </c>
      <c r="C444" s="1">
        <f t="shared" si="111"/>
        <v>512</v>
      </c>
      <c r="D444" s="1">
        <f t="shared" si="111"/>
        <v>5</v>
      </c>
      <c r="E444" s="1">
        <f t="shared" si="111"/>
        <v>10</v>
      </c>
      <c r="F444" s="2">
        <f t="shared" si="107"/>
        <v>8</v>
      </c>
      <c r="H444" s="9" t="s">
        <v>92</v>
      </c>
      <c r="I444" s="9" t="s">
        <v>62</v>
      </c>
      <c r="J444" s="9" t="s">
        <v>33</v>
      </c>
      <c r="K444" s="9">
        <v>23.19</v>
      </c>
      <c r="L444" s="2">
        <v>6</v>
      </c>
      <c r="M444" s="2">
        <v>11</v>
      </c>
      <c r="N444" s="2">
        <v>300</v>
      </c>
      <c r="P444" s="4">
        <f t="shared" si="108"/>
        <v>0</v>
      </c>
    </row>
    <row r="445" spans="1:16" x14ac:dyDescent="0.25">
      <c r="A445" s="1" t="str">
        <f t="shared" ref="A445:E460" si="112">A386</f>
        <v>P65</v>
      </c>
      <c r="B445" s="1">
        <f t="shared" si="112"/>
        <v>65</v>
      </c>
      <c r="C445" s="1">
        <f t="shared" si="112"/>
        <v>544</v>
      </c>
      <c r="D445" s="1">
        <f t="shared" si="112"/>
        <v>5</v>
      </c>
      <c r="E445" s="1">
        <f t="shared" si="112"/>
        <v>10</v>
      </c>
      <c r="F445" s="2">
        <f t="shared" si="107"/>
        <v>8</v>
      </c>
      <c r="H445" s="9" t="s">
        <v>92</v>
      </c>
      <c r="I445" s="9" t="s">
        <v>63</v>
      </c>
      <c r="J445" s="9" t="s">
        <v>33</v>
      </c>
      <c r="K445" s="9">
        <v>20.13</v>
      </c>
      <c r="L445" s="2">
        <v>5</v>
      </c>
      <c r="M445" s="2">
        <v>10</v>
      </c>
      <c r="N445" s="2">
        <v>0.04</v>
      </c>
      <c r="P445" s="4">
        <f t="shared" si="108"/>
        <v>1</v>
      </c>
    </row>
    <row r="446" spans="1:16" x14ac:dyDescent="0.25">
      <c r="A446" s="1" t="str">
        <f t="shared" si="112"/>
        <v>P148</v>
      </c>
      <c r="B446" s="1">
        <f t="shared" si="112"/>
        <v>148</v>
      </c>
      <c r="C446" s="1">
        <f t="shared" si="112"/>
        <v>204</v>
      </c>
      <c r="D446" s="1">
        <f t="shared" si="112"/>
        <v>13</v>
      </c>
      <c r="E446" s="1">
        <f t="shared" si="112"/>
        <v>26</v>
      </c>
      <c r="F446" s="2">
        <f t="shared" ref="F446:F509" si="113">F387+1</f>
        <v>8</v>
      </c>
      <c r="H446" s="9" t="s">
        <v>92</v>
      </c>
      <c r="I446" s="9" t="s">
        <v>64</v>
      </c>
      <c r="J446" s="9" t="s">
        <v>33</v>
      </c>
      <c r="K446" s="9">
        <v>52.14</v>
      </c>
      <c r="L446" s="2">
        <v>13</v>
      </c>
      <c r="M446" s="2">
        <v>26</v>
      </c>
      <c r="N446" s="2">
        <v>0.69</v>
      </c>
      <c r="P446" s="4">
        <f t="shared" si="108"/>
        <v>1</v>
      </c>
    </row>
    <row r="447" spans="1:16" x14ac:dyDescent="0.25">
      <c r="A447" s="1" t="str">
        <f t="shared" si="112"/>
        <v>P148</v>
      </c>
      <c r="B447" s="1">
        <f t="shared" si="112"/>
        <v>148</v>
      </c>
      <c r="C447" s="1">
        <f t="shared" si="112"/>
        <v>228</v>
      </c>
      <c r="D447" s="1">
        <f t="shared" si="112"/>
        <v>12</v>
      </c>
      <c r="E447" s="1">
        <f t="shared" si="112"/>
        <v>23</v>
      </c>
      <c r="F447" s="2">
        <f t="shared" si="113"/>
        <v>8</v>
      </c>
      <c r="H447" s="9" t="s">
        <v>92</v>
      </c>
      <c r="I447" s="9" t="s">
        <v>65</v>
      </c>
      <c r="J447" s="9" t="s">
        <v>33</v>
      </c>
      <c r="K447" s="9">
        <v>47.17</v>
      </c>
      <c r="L447" s="2">
        <v>12</v>
      </c>
      <c r="M447" s="2">
        <v>23</v>
      </c>
      <c r="N447" s="2">
        <v>7.0000000000000007E-2</v>
      </c>
      <c r="P447" s="4">
        <f t="shared" si="108"/>
        <v>1</v>
      </c>
    </row>
    <row r="448" spans="1:16" x14ac:dyDescent="0.25">
      <c r="A448" s="1" t="str">
        <f t="shared" si="112"/>
        <v>P148</v>
      </c>
      <c r="B448" s="1">
        <f t="shared" si="112"/>
        <v>148</v>
      </c>
      <c r="C448" s="1">
        <f t="shared" si="112"/>
        <v>255</v>
      </c>
      <c r="D448" s="1">
        <f t="shared" si="112"/>
        <v>11</v>
      </c>
      <c r="E448" s="1">
        <f t="shared" si="112"/>
        <v>21</v>
      </c>
      <c r="F448" s="2">
        <f t="shared" si="113"/>
        <v>8</v>
      </c>
      <c r="H448" s="9" t="s">
        <v>92</v>
      </c>
      <c r="I448" s="9" t="s">
        <v>66</v>
      </c>
      <c r="J448" s="9" t="s">
        <v>33</v>
      </c>
      <c r="K448" s="9">
        <v>43.22</v>
      </c>
      <c r="L448" s="2">
        <v>11</v>
      </c>
      <c r="M448" s="2">
        <v>21</v>
      </c>
      <c r="N448" s="2">
        <v>0.11</v>
      </c>
      <c r="P448" s="4">
        <f t="shared" si="108"/>
        <v>1</v>
      </c>
    </row>
    <row r="449" spans="1:16" x14ac:dyDescent="0.25">
      <c r="A449" s="1" t="str">
        <f t="shared" si="112"/>
        <v>P148</v>
      </c>
      <c r="B449" s="1">
        <f t="shared" si="112"/>
        <v>148</v>
      </c>
      <c r="C449" s="1">
        <f t="shared" si="112"/>
        <v>306</v>
      </c>
      <c r="D449" s="1">
        <f t="shared" si="112"/>
        <v>9</v>
      </c>
      <c r="E449" s="1">
        <f t="shared" si="112"/>
        <v>17</v>
      </c>
      <c r="F449" s="2">
        <f t="shared" si="113"/>
        <v>8</v>
      </c>
      <c r="H449" s="9" t="s">
        <v>92</v>
      </c>
      <c r="I449" s="9" t="s">
        <v>67</v>
      </c>
      <c r="J449" s="9" t="s">
        <v>33</v>
      </c>
      <c r="K449" s="9">
        <v>35.119999999999997</v>
      </c>
      <c r="L449" s="2">
        <v>9</v>
      </c>
      <c r="M449" s="2">
        <v>17</v>
      </c>
      <c r="N449" s="2">
        <v>0.68</v>
      </c>
      <c r="P449" s="4">
        <f t="shared" si="108"/>
        <v>1</v>
      </c>
    </row>
    <row r="450" spans="1:16" x14ac:dyDescent="0.25">
      <c r="A450" s="1" t="str">
        <f t="shared" si="112"/>
        <v>P148</v>
      </c>
      <c r="B450" s="1">
        <f t="shared" si="112"/>
        <v>148</v>
      </c>
      <c r="C450" s="1">
        <f t="shared" si="112"/>
        <v>357</v>
      </c>
      <c r="D450" s="1">
        <f t="shared" si="112"/>
        <v>8</v>
      </c>
      <c r="E450" s="1">
        <f t="shared" si="112"/>
        <v>15</v>
      </c>
      <c r="F450" s="2">
        <f t="shared" si="113"/>
        <v>8</v>
      </c>
      <c r="H450" s="9" t="s">
        <v>92</v>
      </c>
      <c r="I450" s="9" t="s">
        <v>68</v>
      </c>
      <c r="J450" s="9" t="s">
        <v>33</v>
      </c>
      <c r="K450" s="9">
        <v>31.21</v>
      </c>
      <c r="L450" s="2">
        <v>8</v>
      </c>
      <c r="M450" s="2">
        <v>15</v>
      </c>
      <c r="N450" s="2">
        <v>0.03</v>
      </c>
      <c r="P450" s="4">
        <f t="shared" si="108"/>
        <v>1</v>
      </c>
    </row>
    <row r="451" spans="1:16" x14ac:dyDescent="0.25">
      <c r="A451" s="1" t="str">
        <f t="shared" si="112"/>
        <v>P148</v>
      </c>
      <c r="B451" s="1">
        <f t="shared" si="112"/>
        <v>148</v>
      </c>
      <c r="C451" s="1">
        <f t="shared" si="112"/>
        <v>378</v>
      </c>
      <c r="D451" s="1">
        <f t="shared" si="112"/>
        <v>7</v>
      </c>
      <c r="E451" s="1">
        <f t="shared" si="112"/>
        <v>14</v>
      </c>
      <c r="F451" s="2">
        <f t="shared" si="113"/>
        <v>8</v>
      </c>
      <c r="H451" s="9" t="s">
        <v>92</v>
      </c>
      <c r="I451" s="9" t="s">
        <v>69</v>
      </c>
      <c r="J451" s="9" t="s">
        <v>33</v>
      </c>
      <c r="K451" s="9">
        <v>28.06</v>
      </c>
      <c r="L451" s="2">
        <v>7</v>
      </c>
      <c r="M451" s="2">
        <v>14</v>
      </c>
      <c r="N451" s="2">
        <v>39.299999999999997</v>
      </c>
      <c r="P451" s="4">
        <f t="shared" ref="P451:P514" si="114">IF(D451*100+E451=L451*100+M451,1,0)</f>
        <v>1</v>
      </c>
    </row>
    <row r="452" spans="1:16" x14ac:dyDescent="0.25">
      <c r="A452" s="1" t="str">
        <f t="shared" si="112"/>
        <v>P148</v>
      </c>
      <c r="B452" s="1">
        <f t="shared" si="112"/>
        <v>148</v>
      </c>
      <c r="C452" s="1">
        <f t="shared" si="112"/>
        <v>408</v>
      </c>
      <c r="D452" s="1">
        <f t="shared" si="112"/>
        <v>7</v>
      </c>
      <c r="E452" s="1">
        <f t="shared" si="112"/>
        <v>13</v>
      </c>
      <c r="F452" s="2">
        <f t="shared" si="113"/>
        <v>8</v>
      </c>
      <c r="H452" s="9" t="s">
        <v>92</v>
      </c>
      <c r="I452" s="9" t="s">
        <v>70</v>
      </c>
      <c r="J452" s="9" t="s">
        <v>33</v>
      </c>
      <c r="K452" s="9">
        <v>27.18</v>
      </c>
      <c r="L452" s="2">
        <v>7</v>
      </c>
      <c r="M452" s="2">
        <v>13</v>
      </c>
      <c r="N452" s="2">
        <v>2</v>
      </c>
      <c r="P452" s="4">
        <f t="shared" si="114"/>
        <v>1</v>
      </c>
    </row>
    <row r="453" spans="1:16" x14ac:dyDescent="0.25">
      <c r="A453" s="1" t="str">
        <f t="shared" si="112"/>
        <v>P148</v>
      </c>
      <c r="B453" s="1">
        <f t="shared" si="112"/>
        <v>148</v>
      </c>
      <c r="C453" s="1">
        <f t="shared" si="112"/>
        <v>454</v>
      </c>
      <c r="D453" s="1">
        <f t="shared" si="112"/>
        <v>6</v>
      </c>
      <c r="E453" s="1">
        <f t="shared" si="112"/>
        <v>12</v>
      </c>
      <c r="F453" s="2">
        <f t="shared" si="113"/>
        <v>8</v>
      </c>
      <c r="H453" s="9" t="s">
        <v>92</v>
      </c>
      <c r="I453" s="9" t="s">
        <v>71</v>
      </c>
      <c r="J453" s="9" t="s">
        <v>33</v>
      </c>
      <c r="K453" s="9">
        <v>24.08</v>
      </c>
      <c r="L453" s="2">
        <v>6</v>
      </c>
      <c r="M453" s="2">
        <v>12</v>
      </c>
      <c r="N453" s="2">
        <v>1.19</v>
      </c>
      <c r="P453" s="4">
        <f t="shared" si="114"/>
        <v>1</v>
      </c>
    </row>
    <row r="454" spans="1:16" x14ac:dyDescent="0.25">
      <c r="A454" s="1" t="str">
        <f t="shared" si="112"/>
        <v>P148</v>
      </c>
      <c r="B454" s="1">
        <f t="shared" si="112"/>
        <v>148</v>
      </c>
      <c r="C454" s="1">
        <f t="shared" si="112"/>
        <v>459</v>
      </c>
      <c r="D454" s="1">
        <f t="shared" si="112"/>
        <v>6</v>
      </c>
      <c r="E454" s="1">
        <f t="shared" si="112"/>
        <v>12</v>
      </c>
      <c r="F454" s="2">
        <f t="shared" si="113"/>
        <v>8</v>
      </c>
      <c r="H454" s="9" t="s">
        <v>92</v>
      </c>
      <c r="I454" s="9" t="s">
        <v>72</v>
      </c>
      <c r="J454" s="9" t="s">
        <v>33</v>
      </c>
      <c r="K454" s="9">
        <v>24.16</v>
      </c>
      <c r="L454" s="2">
        <v>6</v>
      </c>
      <c r="M454" s="2">
        <v>12</v>
      </c>
      <c r="N454" s="2">
        <v>0.12</v>
      </c>
      <c r="P454" s="4">
        <f t="shared" si="114"/>
        <v>1</v>
      </c>
    </row>
    <row r="455" spans="1:16" x14ac:dyDescent="0.25">
      <c r="A455" s="1" t="str">
        <f t="shared" si="112"/>
        <v>P148</v>
      </c>
      <c r="B455" s="1">
        <f t="shared" si="112"/>
        <v>148</v>
      </c>
      <c r="C455" s="1">
        <f t="shared" si="112"/>
        <v>510</v>
      </c>
      <c r="D455" s="1">
        <f t="shared" si="112"/>
        <v>6</v>
      </c>
      <c r="E455" s="1">
        <f t="shared" si="112"/>
        <v>11</v>
      </c>
      <c r="F455" s="2">
        <f t="shared" si="113"/>
        <v>8</v>
      </c>
      <c r="H455" s="9" t="s">
        <v>92</v>
      </c>
      <c r="I455" s="9" t="s">
        <v>73</v>
      </c>
      <c r="J455" s="9" t="s">
        <v>33</v>
      </c>
      <c r="K455" s="9">
        <v>23.23</v>
      </c>
      <c r="L455" s="2">
        <v>6</v>
      </c>
      <c r="M455" s="2">
        <v>11</v>
      </c>
      <c r="N455" s="2">
        <v>0.03</v>
      </c>
      <c r="P455" s="4">
        <f t="shared" si="114"/>
        <v>1</v>
      </c>
    </row>
    <row r="456" spans="1:16" x14ac:dyDescent="0.25">
      <c r="A456" s="1" t="str">
        <f t="shared" si="112"/>
        <v>P205</v>
      </c>
      <c r="B456" s="1">
        <f t="shared" si="112"/>
        <v>205</v>
      </c>
      <c r="C456" s="1">
        <f t="shared" si="112"/>
        <v>1133</v>
      </c>
      <c r="D456" s="1">
        <f t="shared" si="112"/>
        <v>11</v>
      </c>
      <c r="E456" s="1">
        <f t="shared" si="112"/>
        <v>21</v>
      </c>
      <c r="F456" s="2">
        <f t="shared" si="113"/>
        <v>8</v>
      </c>
      <c r="H456" s="9" t="s">
        <v>92</v>
      </c>
      <c r="I456" s="9" t="s">
        <v>74</v>
      </c>
      <c r="J456" s="9" t="s">
        <v>33</v>
      </c>
      <c r="K456" s="9">
        <v>47.65</v>
      </c>
      <c r="L456" s="2">
        <v>12</v>
      </c>
      <c r="M456" s="2">
        <v>23</v>
      </c>
      <c r="N456" s="2">
        <v>300.02</v>
      </c>
      <c r="P456" s="4">
        <f t="shared" si="114"/>
        <v>0</v>
      </c>
    </row>
    <row r="457" spans="1:16" x14ac:dyDescent="0.25">
      <c r="A457" s="1" t="str">
        <f t="shared" si="112"/>
        <v>P205</v>
      </c>
      <c r="B457" s="1">
        <f t="shared" si="112"/>
        <v>205</v>
      </c>
      <c r="C457" s="1">
        <f t="shared" si="112"/>
        <v>1275</v>
      </c>
      <c r="D457" s="1">
        <f t="shared" si="112"/>
        <v>10</v>
      </c>
      <c r="E457" s="1">
        <f t="shared" si="112"/>
        <v>19</v>
      </c>
      <c r="F457" s="2">
        <f t="shared" si="113"/>
        <v>8</v>
      </c>
      <c r="H457" s="9" t="s">
        <v>92</v>
      </c>
      <c r="I457" s="9" t="s">
        <v>75</v>
      </c>
      <c r="J457" s="9" t="s">
        <v>33</v>
      </c>
      <c r="K457" s="9">
        <v>40.31</v>
      </c>
      <c r="L457" s="2">
        <v>10</v>
      </c>
      <c r="M457" s="2">
        <v>20</v>
      </c>
      <c r="N457" s="2">
        <v>300.02999999999997</v>
      </c>
      <c r="P457" s="4">
        <f t="shared" si="114"/>
        <v>0</v>
      </c>
    </row>
    <row r="458" spans="1:16" x14ac:dyDescent="0.25">
      <c r="A458" s="1" t="str">
        <f t="shared" si="112"/>
        <v>P205</v>
      </c>
      <c r="B458" s="1">
        <f t="shared" si="112"/>
        <v>205</v>
      </c>
      <c r="C458" s="1">
        <f t="shared" si="112"/>
        <v>1322</v>
      </c>
      <c r="D458" s="1">
        <f t="shared" si="112"/>
        <v>9</v>
      </c>
      <c r="E458" s="1">
        <f t="shared" si="112"/>
        <v>18</v>
      </c>
      <c r="F458" s="2">
        <f t="shared" si="113"/>
        <v>8</v>
      </c>
      <c r="H458" s="9" t="s">
        <v>92</v>
      </c>
      <c r="I458" s="9" t="s">
        <v>76</v>
      </c>
      <c r="J458" s="9" t="s">
        <v>33</v>
      </c>
      <c r="K458" s="9">
        <v>40.35</v>
      </c>
      <c r="L458" s="2">
        <v>10</v>
      </c>
      <c r="M458" s="2">
        <v>20</v>
      </c>
      <c r="N458" s="2">
        <v>300</v>
      </c>
      <c r="P458" s="4">
        <f t="shared" si="114"/>
        <v>0</v>
      </c>
    </row>
    <row r="459" spans="1:16" x14ac:dyDescent="0.25">
      <c r="A459" s="1" t="str">
        <f t="shared" si="112"/>
        <v>P205</v>
      </c>
      <c r="B459" s="1">
        <f t="shared" si="112"/>
        <v>205</v>
      </c>
      <c r="C459" s="1">
        <f t="shared" si="112"/>
        <v>1455</v>
      </c>
      <c r="D459" s="1">
        <f t="shared" si="112"/>
        <v>9</v>
      </c>
      <c r="E459" s="1">
        <f t="shared" si="112"/>
        <v>17</v>
      </c>
      <c r="F459" s="2">
        <f t="shared" si="113"/>
        <v>8</v>
      </c>
      <c r="H459" s="9" t="s">
        <v>92</v>
      </c>
      <c r="I459" s="9" t="s">
        <v>77</v>
      </c>
      <c r="J459" s="9" t="s">
        <v>33</v>
      </c>
      <c r="K459" s="9">
        <v>36.29</v>
      </c>
      <c r="L459" s="2">
        <v>9</v>
      </c>
      <c r="M459" s="2">
        <v>18</v>
      </c>
      <c r="N459" s="2">
        <v>300.02999999999997</v>
      </c>
      <c r="P459" s="4">
        <f t="shared" si="114"/>
        <v>0</v>
      </c>
    </row>
    <row r="460" spans="1:16" x14ac:dyDescent="0.25">
      <c r="A460" s="1" t="str">
        <f t="shared" si="112"/>
        <v>P205</v>
      </c>
      <c r="B460" s="1">
        <f t="shared" si="112"/>
        <v>205</v>
      </c>
      <c r="C460" s="1">
        <f t="shared" si="112"/>
        <v>1510</v>
      </c>
      <c r="D460" s="1">
        <f t="shared" si="112"/>
        <v>8</v>
      </c>
      <c r="E460" s="1">
        <f t="shared" si="112"/>
        <v>16</v>
      </c>
      <c r="F460" s="2">
        <f t="shared" si="113"/>
        <v>8</v>
      </c>
      <c r="H460" s="9" t="s">
        <v>92</v>
      </c>
      <c r="I460" s="9" t="s">
        <v>78</v>
      </c>
      <c r="J460" s="9" t="s">
        <v>33</v>
      </c>
      <c r="K460" s="9">
        <v>36.340000000000003</v>
      </c>
      <c r="L460" s="2">
        <v>9</v>
      </c>
      <c r="M460" s="2">
        <v>18</v>
      </c>
      <c r="N460" s="2">
        <v>300.02</v>
      </c>
      <c r="P460" s="4">
        <f t="shared" si="114"/>
        <v>0</v>
      </c>
    </row>
    <row r="461" spans="1:16" x14ac:dyDescent="0.25">
      <c r="A461" s="1" t="str">
        <f t="shared" ref="A461:E476" si="115">A402</f>
        <v>P205</v>
      </c>
      <c r="B461" s="1">
        <f t="shared" si="115"/>
        <v>205</v>
      </c>
      <c r="C461" s="1">
        <f t="shared" si="115"/>
        <v>1650</v>
      </c>
      <c r="D461" s="1">
        <f t="shared" si="115"/>
        <v>8</v>
      </c>
      <c r="E461" s="1">
        <f t="shared" si="115"/>
        <v>15</v>
      </c>
      <c r="F461" s="2">
        <f t="shared" si="113"/>
        <v>8</v>
      </c>
      <c r="H461" s="9" t="s">
        <v>92</v>
      </c>
      <c r="I461" s="9" t="s">
        <v>79</v>
      </c>
      <c r="J461" s="9" t="s">
        <v>33</v>
      </c>
      <c r="K461" s="9">
        <v>32.28</v>
      </c>
      <c r="L461" s="2">
        <v>8</v>
      </c>
      <c r="M461" s="2">
        <v>16</v>
      </c>
      <c r="N461" s="2">
        <v>300.02999999999997</v>
      </c>
      <c r="P461" s="4">
        <f t="shared" si="114"/>
        <v>0</v>
      </c>
    </row>
    <row r="462" spans="1:16" x14ac:dyDescent="0.25">
      <c r="A462" s="1" t="str">
        <f t="shared" si="115"/>
        <v>P205</v>
      </c>
      <c r="B462" s="1">
        <f t="shared" si="115"/>
        <v>205</v>
      </c>
      <c r="C462" s="1">
        <f t="shared" si="115"/>
        <v>1699</v>
      </c>
      <c r="D462" s="1">
        <f t="shared" si="115"/>
        <v>7</v>
      </c>
      <c r="E462" s="1">
        <f t="shared" si="115"/>
        <v>14</v>
      </c>
      <c r="F462" s="2">
        <f t="shared" si="113"/>
        <v>8</v>
      </c>
      <c r="H462" s="9" t="s">
        <v>92</v>
      </c>
      <c r="I462" s="9" t="s">
        <v>80</v>
      </c>
      <c r="J462" s="9" t="s">
        <v>33</v>
      </c>
      <c r="K462" s="9">
        <v>32.29</v>
      </c>
      <c r="L462" s="2">
        <v>8</v>
      </c>
      <c r="M462" s="2">
        <v>16</v>
      </c>
      <c r="N462" s="2">
        <v>300.02</v>
      </c>
      <c r="P462" s="4">
        <f t="shared" si="114"/>
        <v>0</v>
      </c>
    </row>
    <row r="463" spans="1:16" x14ac:dyDescent="0.25">
      <c r="A463" s="1" t="str">
        <f t="shared" si="115"/>
        <v>P205</v>
      </c>
      <c r="B463" s="1">
        <f t="shared" si="115"/>
        <v>205</v>
      </c>
      <c r="C463" s="1">
        <f t="shared" si="115"/>
        <v>1888</v>
      </c>
      <c r="D463" s="1">
        <f t="shared" si="115"/>
        <v>7</v>
      </c>
      <c r="E463" s="1">
        <f t="shared" si="115"/>
        <v>13</v>
      </c>
      <c r="F463" s="2">
        <f t="shared" si="113"/>
        <v>8</v>
      </c>
      <c r="H463" s="9" t="s">
        <v>92</v>
      </c>
      <c r="I463" s="9" t="s">
        <v>81</v>
      </c>
      <c r="J463" s="9" t="s">
        <v>33</v>
      </c>
      <c r="K463" s="9">
        <v>28.24</v>
      </c>
      <c r="L463" s="2">
        <v>7</v>
      </c>
      <c r="M463" s="2">
        <v>14</v>
      </c>
      <c r="N463" s="2">
        <v>300.01</v>
      </c>
      <c r="P463" s="4">
        <f t="shared" si="114"/>
        <v>0</v>
      </c>
    </row>
    <row r="464" spans="1:16" x14ac:dyDescent="0.25">
      <c r="A464" s="1" t="str">
        <f t="shared" si="115"/>
        <v>P205</v>
      </c>
      <c r="B464" s="1">
        <f t="shared" si="115"/>
        <v>205</v>
      </c>
      <c r="C464" s="1">
        <f t="shared" si="115"/>
        <v>1920</v>
      </c>
      <c r="D464" s="1">
        <f t="shared" si="115"/>
        <v>7</v>
      </c>
      <c r="E464" s="1">
        <f t="shared" si="115"/>
        <v>13</v>
      </c>
      <c r="F464" s="2">
        <f t="shared" si="113"/>
        <v>8</v>
      </c>
      <c r="H464" s="9" t="s">
        <v>92</v>
      </c>
      <c r="I464" s="9" t="s">
        <v>82</v>
      </c>
      <c r="J464" s="9" t="s">
        <v>33</v>
      </c>
      <c r="K464" s="9">
        <v>28.26</v>
      </c>
      <c r="L464" s="2">
        <v>7</v>
      </c>
      <c r="M464" s="2">
        <v>14</v>
      </c>
      <c r="N464" s="2">
        <v>300.04000000000002</v>
      </c>
      <c r="P464" s="4">
        <f t="shared" si="114"/>
        <v>0</v>
      </c>
    </row>
    <row r="465" spans="1:16" x14ac:dyDescent="0.25">
      <c r="A465" s="1" t="str">
        <f t="shared" si="115"/>
        <v>P205</v>
      </c>
      <c r="B465" s="1">
        <f t="shared" si="115"/>
        <v>205</v>
      </c>
      <c r="C465" s="1">
        <f t="shared" si="115"/>
        <v>2077</v>
      </c>
      <c r="D465" s="1">
        <f t="shared" si="115"/>
        <v>6</v>
      </c>
      <c r="E465" s="1">
        <f t="shared" si="115"/>
        <v>12</v>
      </c>
      <c r="F465" s="2">
        <f t="shared" si="113"/>
        <v>8</v>
      </c>
      <c r="H465" s="9" t="s">
        <v>92</v>
      </c>
      <c r="I465" s="9" t="s">
        <v>83</v>
      </c>
      <c r="J465" s="9" t="s">
        <v>33</v>
      </c>
      <c r="K465" s="9">
        <v>27.42</v>
      </c>
      <c r="L465" s="2">
        <v>7</v>
      </c>
      <c r="M465" s="2">
        <v>13</v>
      </c>
      <c r="N465" s="2">
        <v>300.05</v>
      </c>
      <c r="P465" s="4">
        <f t="shared" si="114"/>
        <v>0</v>
      </c>
    </row>
    <row r="466" spans="1:16" x14ac:dyDescent="0.25">
      <c r="A466" s="1" t="str">
        <f t="shared" si="115"/>
        <v>P205</v>
      </c>
      <c r="B466" s="1">
        <f t="shared" si="115"/>
        <v>205</v>
      </c>
      <c r="C466" s="1">
        <f t="shared" si="115"/>
        <v>2100</v>
      </c>
      <c r="D466" s="1">
        <f t="shared" si="115"/>
        <v>6</v>
      </c>
      <c r="E466" s="1">
        <f t="shared" si="115"/>
        <v>12</v>
      </c>
      <c r="F466" s="2">
        <f t="shared" si="113"/>
        <v>8</v>
      </c>
      <c r="H466" s="9" t="s">
        <v>92</v>
      </c>
      <c r="I466" s="9" t="s">
        <v>84</v>
      </c>
      <c r="J466" s="9" t="s">
        <v>33</v>
      </c>
      <c r="K466" s="9">
        <v>27.45</v>
      </c>
      <c r="L466" s="2">
        <v>7</v>
      </c>
      <c r="M466" s="2">
        <v>13</v>
      </c>
      <c r="N466" s="2">
        <v>300.05</v>
      </c>
      <c r="P466" s="4">
        <f t="shared" si="114"/>
        <v>0</v>
      </c>
    </row>
    <row r="467" spans="1:16" x14ac:dyDescent="0.25">
      <c r="A467" s="1" t="str">
        <f t="shared" si="115"/>
        <v>P205</v>
      </c>
      <c r="B467" s="1">
        <f t="shared" si="115"/>
        <v>205</v>
      </c>
      <c r="C467" s="1">
        <f t="shared" si="115"/>
        <v>2266</v>
      </c>
      <c r="D467" s="1">
        <f t="shared" si="115"/>
        <v>6</v>
      </c>
      <c r="E467" s="1">
        <f t="shared" si="115"/>
        <v>11</v>
      </c>
      <c r="F467" s="2">
        <f t="shared" si="113"/>
        <v>8</v>
      </c>
      <c r="H467" s="9" t="s">
        <v>92</v>
      </c>
      <c r="I467" s="9" t="s">
        <v>85</v>
      </c>
      <c r="J467" s="9" t="s">
        <v>33</v>
      </c>
      <c r="K467" s="9">
        <v>27.79</v>
      </c>
      <c r="L467" s="2">
        <v>7</v>
      </c>
      <c r="M467" s="2">
        <v>13</v>
      </c>
      <c r="N467" s="2">
        <v>300</v>
      </c>
      <c r="P467" s="4">
        <f t="shared" si="114"/>
        <v>0</v>
      </c>
    </row>
    <row r="468" spans="1:16" x14ac:dyDescent="0.25">
      <c r="A468" s="1" t="str">
        <f t="shared" si="115"/>
        <v>P205</v>
      </c>
      <c r="B468" s="1">
        <f t="shared" si="115"/>
        <v>205</v>
      </c>
      <c r="C468" s="1">
        <f t="shared" si="115"/>
        <v>2300</v>
      </c>
      <c r="D468" s="1">
        <f t="shared" si="115"/>
        <v>6</v>
      </c>
      <c r="E468" s="1">
        <f t="shared" si="115"/>
        <v>11</v>
      </c>
      <c r="F468" s="2">
        <f t="shared" si="113"/>
        <v>8</v>
      </c>
      <c r="H468" s="9" t="s">
        <v>92</v>
      </c>
      <c r="I468" s="9" t="s">
        <v>86</v>
      </c>
      <c r="J468" s="9" t="s">
        <v>33</v>
      </c>
      <c r="K468" s="9">
        <v>26.78</v>
      </c>
      <c r="L468" s="2">
        <v>7</v>
      </c>
      <c r="M468" s="2">
        <v>12</v>
      </c>
      <c r="N468" s="2">
        <v>300</v>
      </c>
      <c r="P468" s="4">
        <f t="shared" si="114"/>
        <v>0</v>
      </c>
    </row>
    <row r="469" spans="1:16" x14ac:dyDescent="0.25">
      <c r="A469" s="1" t="str">
        <f t="shared" si="115"/>
        <v>P205</v>
      </c>
      <c r="B469" s="1">
        <f t="shared" si="115"/>
        <v>205</v>
      </c>
      <c r="C469" s="1">
        <f t="shared" si="115"/>
        <v>2454</v>
      </c>
      <c r="D469" s="1">
        <f t="shared" si="115"/>
        <v>5</v>
      </c>
      <c r="E469" s="1">
        <f t="shared" si="115"/>
        <v>10</v>
      </c>
      <c r="F469" s="2">
        <f t="shared" si="113"/>
        <v>8</v>
      </c>
      <c r="H469" s="9" t="s">
        <v>92</v>
      </c>
      <c r="I469" s="9" t="s">
        <v>87</v>
      </c>
      <c r="J469" s="9" t="s">
        <v>33</v>
      </c>
      <c r="K469" s="9">
        <v>24.41</v>
      </c>
      <c r="L469" s="2">
        <v>6</v>
      </c>
      <c r="M469" s="2">
        <v>12</v>
      </c>
      <c r="N469" s="2">
        <v>300.02</v>
      </c>
      <c r="P469" s="4">
        <f t="shared" si="114"/>
        <v>0</v>
      </c>
    </row>
    <row r="470" spans="1:16" x14ac:dyDescent="0.25">
      <c r="A470" s="1" t="str">
        <f t="shared" si="115"/>
        <v>P205</v>
      </c>
      <c r="B470" s="1">
        <f t="shared" si="115"/>
        <v>205</v>
      </c>
      <c r="C470" s="1">
        <f t="shared" si="115"/>
        <v>2500</v>
      </c>
      <c r="D470" s="1">
        <f t="shared" si="115"/>
        <v>5</v>
      </c>
      <c r="E470" s="1">
        <f t="shared" si="115"/>
        <v>10</v>
      </c>
      <c r="F470" s="2">
        <f t="shared" si="113"/>
        <v>8</v>
      </c>
      <c r="H470" s="9" t="s">
        <v>92</v>
      </c>
      <c r="I470" s="9" t="s">
        <v>88</v>
      </c>
      <c r="J470" s="9" t="s">
        <v>33</v>
      </c>
      <c r="K470" s="9">
        <v>24.45</v>
      </c>
      <c r="L470" s="2">
        <v>6</v>
      </c>
      <c r="M470" s="2">
        <v>12</v>
      </c>
      <c r="N470" s="2">
        <v>300.05</v>
      </c>
      <c r="P470" s="4">
        <f t="shared" si="114"/>
        <v>0</v>
      </c>
    </row>
    <row r="471" spans="1:16" x14ac:dyDescent="0.25">
      <c r="A471" s="1" t="str">
        <f t="shared" si="115"/>
        <v>P205</v>
      </c>
      <c r="B471" s="1">
        <f t="shared" si="115"/>
        <v>205</v>
      </c>
      <c r="C471" s="1">
        <f t="shared" si="115"/>
        <v>2643</v>
      </c>
      <c r="D471" s="1">
        <f t="shared" si="115"/>
        <v>5</v>
      </c>
      <c r="E471" s="1">
        <f t="shared" si="115"/>
        <v>9</v>
      </c>
      <c r="F471" s="2">
        <f t="shared" si="113"/>
        <v>8</v>
      </c>
      <c r="H471" s="9" t="s">
        <v>92</v>
      </c>
      <c r="I471" s="9" t="s">
        <v>89</v>
      </c>
      <c r="J471" s="9" t="s">
        <v>33</v>
      </c>
      <c r="K471" s="9">
        <v>23.59</v>
      </c>
      <c r="L471" s="2">
        <v>6</v>
      </c>
      <c r="M471" s="2">
        <v>11</v>
      </c>
      <c r="N471" s="2">
        <v>300.02999999999997</v>
      </c>
      <c r="P471" s="4">
        <f t="shared" si="114"/>
        <v>0</v>
      </c>
    </row>
    <row r="472" spans="1:16" x14ac:dyDescent="0.25">
      <c r="A472" s="1" t="str">
        <f t="shared" si="115"/>
        <v>P205</v>
      </c>
      <c r="B472" s="1">
        <f t="shared" si="115"/>
        <v>205</v>
      </c>
      <c r="C472" s="1">
        <f t="shared" si="115"/>
        <v>2800</v>
      </c>
      <c r="D472" s="1">
        <f t="shared" si="115"/>
        <v>5</v>
      </c>
      <c r="E472" s="1">
        <f t="shared" si="115"/>
        <v>9</v>
      </c>
      <c r="F472" s="2">
        <f t="shared" si="113"/>
        <v>8</v>
      </c>
      <c r="H472" s="9" t="s">
        <v>92</v>
      </c>
      <c r="I472" s="9" t="s">
        <v>90</v>
      </c>
      <c r="J472" s="9" t="s">
        <v>33</v>
      </c>
      <c r="K472" s="9">
        <v>20.329999999999998</v>
      </c>
      <c r="L472" s="2">
        <v>5</v>
      </c>
      <c r="M472" s="2">
        <v>10</v>
      </c>
      <c r="N472" s="2">
        <v>300.02999999999997</v>
      </c>
      <c r="P472" s="4">
        <f t="shared" si="114"/>
        <v>0</v>
      </c>
    </row>
    <row r="473" spans="1:16" x14ac:dyDescent="0.25">
      <c r="A473" s="1" t="str">
        <f t="shared" si="115"/>
        <v>P205</v>
      </c>
      <c r="B473" s="1">
        <f t="shared" si="115"/>
        <v>205</v>
      </c>
      <c r="C473" s="1">
        <f t="shared" si="115"/>
        <v>2832</v>
      </c>
      <c r="D473" s="1">
        <f t="shared" si="115"/>
        <v>5</v>
      </c>
      <c r="E473" s="1">
        <f t="shared" si="115"/>
        <v>9</v>
      </c>
      <c r="F473" s="2">
        <f t="shared" si="113"/>
        <v>8</v>
      </c>
      <c r="H473" s="9" t="s">
        <v>92</v>
      </c>
      <c r="I473" s="9" t="s">
        <v>91</v>
      </c>
      <c r="J473" s="9" t="s">
        <v>33</v>
      </c>
      <c r="K473" s="9">
        <v>20.34</v>
      </c>
      <c r="L473" s="2">
        <v>5</v>
      </c>
      <c r="M473" s="2">
        <v>10</v>
      </c>
      <c r="N473" s="2">
        <v>300.02</v>
      </c>
      <c r="P473" s="4">
        <f t="shared" si="114"/>
        <v>0</v>
      </c>
    </row>
    <row r="474" spans="1:16" x14ac:dyDescent="0.25">
      <c r="A474" s="1" t="str">
        <f t="shared" si="115"/>
        <v>P9</v>
      </c>
      <c r="B474" s="1">
        <f t="shared" si="115"/>
        <v>9</v>
      </c>
      <c r="C474" s="1">
        <f t="shared" si="115"/>
        <v>3</v>
      </c>
      <c r="D474" s="1">
        <f t="shared" si="115"/>
        <v>3</v>
      </c>
      <c r="E474" s="1">
        <f t="shared" si="115"/>
        <v>6</v>
      </c>
      <c r="F474" s="2">
        <f t="shared" si="113"/>
        <v>9</v>
      </c>
      <c r="H474" s="9" t="s">
        <v>92</v>
      </c>
      <c r="I474" s="9" t="s">
        <v>32</v>
      </c>
      <c r="J474" s="9" t="s">
        <v>33</v>
      </c>
      <c r="K474" s="9">
        <v>12.17</v>
      </c>
      <c r="L474" s="2">
        <v>3</v>
      </c>
      <c r="M474" s="2">
        <v>6</v>
      </c>
      <c r="N474" s="2">
        <v>0</v>
      </c>
      <c r="P474" s="4">
        <f t="shared" si="114"/>
        <v>1</v>
      </c>
    </row>
    <row r="475" spans="1:16" x14ac:dyDescent="0.25">
      <c r="A475" s="1" t="str">
        <f t="shared" si="115"/>
        <v>P9</v>
      </c>
      <c r="B475" s="1">
        <f t="shared" si="115"/>
        <v>9</v>
      </c>
      <c r="C475" s="1">
        <f t="shared" si="115"/>
        <v>4</v>
      </c>
      <c r="D475" s="1">
        <f t="shared" si="115"/>
        <v>3</v>
      </c>
      <c r="E475" s="1">
        <f t="shared" si="115"/>
        <v>5</v>
      </c>
      <c r="F475" s="2">
        <f t="shared" si="113"/>
        <v>9</v>
      </c>
      <c r="H475" s="9" t="s">
        <v>92</v>
      </c>
      <c r="I475" s="9" t="s">
        <v>34</v>
      </c>
      <c r="J475" s="9" t="s">
        <v>33</v>
      </c>
      <c r="K475" s="9">
        <v>11.42</v>
      </c>
      <c r="L475" s="2">
        <v>3</v>
      </c>
      <c r="M475" s="2">
        <v>5</v>
      </c>
      <c r="N475" s="2">
        <v>0</v>
      </c>
      <c r="P475" s="4">
        <f t="shared" si="114"/>
        <v>1</v>
      </c>
    </row>
    <row r="476" spans="1:16" x14ac:dyDescent="0.25">
      <c r="A476" s="1" t="str">
        <f t="shared" si="115"/>
        <v>P9</v>
      </c>
      <c r="B476" s="1">
        <f t="shared" si="115"/>
        <v>9</v>
      </c>
      <c r="C476" s="1">
        <f t="shared" si="115"/>
        <v>5</v>
      </c>
      <c r="D476" s="1">
        <f t="shared" si="115"/>
        <v>2</v>
      </c>
      <c r="E476" s="1">
        <f t="shared" si="115"/>
        <v>4</v>
      </c>
      <c r="F476" s="2">
        <f t="shared" si="113"/>
        <v>9</v>
      </c>
      <c r="H476" s="9" t="s">
        <v>92</v>
      </c>
      <c r="I476" s="9" t="s">
        <v>35</v>
      </c>
      <c r="J476" s="9" t="s">
        <v>33</v>
      </c>
      <c r="K476" s="9">
        <v>8.15</v>
      </c>
      <c r="L476" s="2">
        <v>2</v>
      </c>
      <c r="M476" s="2">
        <v>4</v>
      </c>
      <c r="N476" s="2">
        <v>0.01</v>
      </c>
      <c r="P476" s="4">
        <f t="shared" si="114"/>
        <v>1</v>
      </c>
    </row>
    <row r="477" spans="1:16" x14ac:dyDescent="0.25">
      <c r="A477" s="1" t="str">
        <f t="shared" ref="A477:E492" si="116">A418</f>
        <v>P9</v>
      </c>
      <c r="B477" s="1">
        <f t="shared" si="116"/>
        <v>9</v>
      </c>
      <c r="C477" s="1">
        <f t="shared" si="116"/>
        <v>6</v>
      </c>
      <c r="D477" s="1">
        <f t="shared" si="116"/>
        <v>2</v>
      </c>
      <c r="E477" s="1">
        <f t="shared" si="116"/>
        <v>3</v>
      </c>
      <c r="F477" s="2">
        <f t="shared" si="113"/>
        <v>9</v>
      </c>
      <c r="H477" s="9" t="s">
        <v>92</v>
      </c>
      <c r="I477" s="9" t="s">
        <v>36</v>
      </c>
      <c r="J477" s="9" t="s">
        <v>33</v>
      </c>
      <c r="K477" s="9">
        <v>7.29</v>
      </c>
      <c r="L477" s="2">
        <v>2</v>
      </c>
      <c r="M477" s="2">
        <v>3</v>
      </c>
      <c r="N477" s="2">
        <v>0.01</v>
      </c>
      <c r="P477" s="4">
        <f t="shared" si="114"/>
        <v>1</v>
      </c>
    </row>
    <row r="478" spans="1:16" x14ac:dyDescent="0.25">
      <c r="A478" s="1" t="str">
        <f t="shared" si="116"/>
        <v>P9</v>
      </c>
      <c r="B478" s="1">
        <f t="shared" si="116"/>
        <v>9</v>
      </c>
      <c r="C478" s="1">
        <f t="shared" si="116"/>
        <v>7</v>
      </c>
      <c r="D478" s="1">
        <f t="shared" si="116"/>
        <v>2</v>
      </c>
      <c r="E478" s="1">
        <f t="shared" si="116"/>
        <v>3</v>
      </c>
      <c r="F478" s="2">
        <f t="shared" si="113"/>
        <v>9</v>
      </c>
      <c r="H478" s="9" t="s">
        <v>92</v>
      </c>
      <c r="I478" s="9" t="s">
        <v>37</v>
      </c>
      <c r="J478" s="9" t="s">
        <v>33</v>
      </c>
      <c r="K478" s="9">
        <v>7.39</v>
      </c>
      <c r="L478" s="2">
        <v>2</v>
      </c>
      <c r="M478" s="2">
        <v>3</v>
      </c>
      <c r="N478" s="2">
        <v>0</v>
      </c>
      <c r="P478" s="4">
        <f t="shared" si="114"/>
        <v>1</v>
      </c>
    </row>
    <row r="479" spans="1:16" x14ac:dyDescent="0.25">
      <c r="A479" s="1" t="str">
        <f t="shared" si="116"/>
        <v>P12</v>
      </c>
      <c r="B479" s="1">
        <f t="shared" si="116"/>
        <v>12</v>
      </c>
      <c r="C479" s="1">
        <f t="shared" si="116"/>
        <v>4</v>
      </c>
      <c r="D479" s="1">
        <f t="shared" si="116"/>
        <v>4</v>
      </c>
      <c r="E479" s="1">
        <f t="shared" si="116"/>
        <v>7</v>
      </c>
      <c r="F479" s="2">
        <f t="shared" si="113"/>
        <v>9</v>
      </c>
      <c r="H479" s="9" t="s">
        <v>92</v>
      </c>
      <c r="I479" s="9" t="s">
        <v>38</v>
      </c>
      <c r="J479" s="9" t="s">
        <v>33</v>
      </c>
      <c r="K479" s="9">
        <v>15.31</v>
      </c>
      <c r="L479" s="2">
        <v>4</v>
      </c>
      <c r="M479" s="2">
        <v>7</v>
      </c>
      <c r="N479" s="2">
        <v>0</v>
      </c>
      <c r="P479" s="4">
        <f t="shared" si="114"/>
        <v>1</v>
      </c>
    </row>
    <row r="480" spans="1:16" x14ac:dyDescent="0.25">
      <c r="A480" s="1" t="str">
        <f t="shared" si="116"/>
        <v>P12</v>
      </c>
      <c r="B480" s="1">
        <f t="shared" si="116"/>
        <v>12</v>
      </c>
      <c r="C480" s="1">
        <f t="shared" si="116"/>
        <v>5</v>
      </c>
      <c r="D480" s="1">
        <f t="shared" si="116"/>
        <v>3</v>
      </c>
      <c r="E480" s="1">
        <f t="shared" si="116"/>
        <v>6</v>
      </c>
      <c r="F480" s="2">
        <f t="shared" si="113"/>
        <v>9</v>
      </c>
      <c r="H480" s="9" t="s">
        <v>92</v>
      </c>
      <c r="I480" s="9" t="s">
        <v>39</v>
      </c>
      <c r="J480" s="9" t="s">
        <v>33</v>
      </c>
      <c r="K480" s="9">
        <v>12.23</v>
      </c>
      <c r="L480" s="2">
        <v>3</v>
      </c>
      <c r="M480" s="2">
        <v>6</v>
      </c>
      <c r="N480" s="2">
        <v>300</v>
      </c>
      <c r="P480" s="4">
        <f t="shared" si="114"/>
        <v>1</v>
      </c>
    </row>
    <row r="481" spans="1:16" x14ac:dyDescent="0.25">
      <c r="A481" s="1" t="str">
        <f t="shared" si="116"/>
        <v>P12</v>
      </c>
      <c r="B481" s="1">
        <f t="shared" si="116"/>
        <v>12</v>
      </c>
      <c r="C481" s="1">
        <f t="shared" si="116"/>
        <v>6</v>
      </c>
      <c r="D481" s="1">
        <f t="shared" si="116"/>
        <v>3</v>
      </c>
      <c r="E481" s="1">
        <f t="shared" si="116"/>
        <v>5</v>
      </c>
      <c r="F481" s="2">
        <f t="shared" si="113"/>
        <v>9</v>
      </c>
      <c r="H481" s="9" t="s">
        <v>92</v>
      </c>
      <c r="I481" s="9" t="s">
        <v>40</v>
      </c>
      <c r="J481" s="9" t="s">
        <v>33</v>
      </c>
      <c r="K481" s="9">
        <v>11.33</v>
      </c>
      <c r="L481" s="2">
        <v>3</v>
      </c>
      <c r="M481" s="2">
        <v>5</v>
      </c>
      <c r="N481" s="2">
        <v>0</v>
      </c>
      <c r="P481" s="4">
        <f t="shared" si="114"/>
        <v>1</v>
      </c>
    </row>
    <row r="482" spans="1:16" x14ac:dyDescent="0.25">
      <c r="A482" s="1" t="str">
        <f t="shared" si="116"/>
        <v>P12</v>
      </c>
      <c r="B482" s="1">
        <f t="shared" si="116"/>
        <v>12</v>
      </c>
      <c r="C482" s="1">
        <f t="shared" si="116"/>
        <v>7</v>
      </c>
      <c r="D482" s="1">
        <f t="shared" si="116"/>
        <v>2</v>
      </c>
      <c r="E482" s="1">
        <f t="shared" si="116"/>
        <v>4</v>
      </c>
      <c r="F482" s="2">
        <f t="shared" si="113"/>
        <v>9</v>
      </c>
      <c r="H482" s="9" t="s">
        <v>92</v>
      </c>
      <c r="I482" s="9" t="s">
        <v>41</v>
      </c>
      <c r="J482" s="9" t="s">
        <v>33</v>
      </c>
      <c r="K482" s="9">
        <v>8.11</v>
      </c>
      <c r="L482" s="2">
        <v>2</v>
      </c>
      <c r="M482" s="2">
        <v>4</v>
      </c>
      <c r="N482" s="2">
        <v>0</v>
      </c>
      <c r="P482" s="4">
        <f t="shared" si="114"/>
        <v>1</v>
      </c>
    </row>
    <row r="483" spans="1:16" x14ac:dyDescent="0.25">
      <c r="A483" s="1" t="str">
        <f t="shared" si="116"/>
        <v>P12</v>
      </c>
      <c r="B483" s="1">
        <f t="shared" si="116"/>
        <v>12</v>
      </c>
      <c r="C483" s="1">
        <f t="shared" si="116"/>
        <v>8</v>
      </c>
      <c r="D483" s="1">
        <f t="shared" si="116"/>
        <v>2</v>
      </c>
      <c r="E483" s="1">
        <f t="shared" si="116"/>
        <v>4</v>
      </c>
      <c r="F483" s="2">
        <f t="shared" si="113"/>
        <v>9</v>
      </c>
      <c r="H483" s="9" t="s">
        <v>92</v>
      </c>
      <c r="I483" s="9" t="s">
        <v>42</v>
      </c>
      <c r="J483" s="9" t="s">
        <v>33</v>
      </c>
      <c r="K483" s="9">
        <v>8.2200000000000006</v>
      </c>
      <c r="L483" s="2">
        <v>2</v>
      </c>
      <c r="M483" s="2">
        <v>4</v>
      </c>
      <c r="N483" s="2">
        <v>0</v>
      </c>
      <c r="P483" s="4">
        <f t="shared" si="114"/>
        <v>1</v>
      </c>
    </row>
    <row r="484" spans="1:16" x14ac:dyDescent="0.25">
      <c r="A484" s="1" t="str">
        <f t="shared" si="116"/>
        <v>P12</v>
      </c>
      <c r="B484" s="1">
        <f t="shared" si="116"/>
        <v>12</v>
      </c>
      <c r="C484" s="1">
        <f t="shared" si="116"/>
        <v>9</v>
      </c>
      <c r="D484" s="1">
        <f t="shared" si="116"/>
        <v>2</v>
      </c>
      <c r="E484" s="1">
        <f t="shared" si="116"/>
        <v>3</v>
      </c>
      <c r="F484" s="2">
        <f t="shared" si="113"/>
        <v>9</v>
      </c>
      <c r="H484" s="9" t="s">
        <v>92</v>
      </c>
      <c r="I484" s="9" t="s">
        <v>43</v>
      </c>
      <c r="J484" s="9" t="s">
        <v>33</v>
      </c>
      <c r="K484" s="9">
        <v>7.31</v>
      </c>
      <c r="L484" s="2">
        <v>2</v>
      </c>
      <c r="M484" s="2">
        <v>3</v>
      </c>
      <c r="N484" s="2">
        <v>0</v>
      </c>
      <c r="P484" s="4">
        <f t="shared" si="114"/>
        <v>1</v>
      </c>
    </row>
    <row r="485" spans="1:16" x14ac:dyDescent="0.25">
      <c r="A485" s="1" t="str">
        <f t="shared" si="116"/>
        <v>P16</v>
      </c>
      <c r="B485" s="1">
        <f t="shared" si="116"/>
        <v>16</v>
      </c>
      <c r="C485" s="1">
        <f t="shared" si="116"/>
        <v>15</v>
      </c>
      <c r="D485" s="1">
        <f t="shared" si="116"/>
        <v>4</v>
      </c>
      <c r="E485" s="1">
        <f t="shared" si="116"/>
        <v>6</v>
      </c>
      <c r="F485" s="2">
        <f t="shared" si="113"/>
        <v>9</v>
      </c>
      <c r="H485" s="9" t="s">
        <v>92</v>
      </c>
      <c r="I485" s="9" t="s">
        <v>44</v>
      </c>
      <c r="J485" s="9" t="s">
        <v>33</v>
      </c>
      <c r="K485" s="9">
        <v>14.68</v>
      </c>
      <c r="L485" s="2">
        <v>4</v>
      </c>
      <c r="M485" s="2">
        <v>6</v>
      </c>
      <c r="N485" s="2">
        <v>300</v>
      </c>
      <c r="P485" s="4">
        <f t="shared" si="114"/>
        <v>1</v>
      </c>
    </row>
    <row r="486" spans="1:16" x14ac:dyDescent="0.25">
      <c r="A486" s="1" t="str">
        <f t="shared" si="116"/>
        <v>P16</v>
      </c>
      <c r="B486" s="1">
        <f t="shared" si="116"/>
        <v>16</v>
      </c>
      <c r="C486" s="1">
        <f t="shared" si="116"/>
        <v>16</v>
      </c>
      <c r="D486" s="1">
        <f t="shared" si="116"/>
        <v>3</v>
      </c>
      <c r="E486" s="1">
        <f t="shared" si="116"/>
        <v>6</v>
      </c>
      <c r="F486" s="2">
        <f t="shared" si="113"/>
        <v>9</v>
      </c>
      <c r="H486" s="9" t="s">
        <v>92</v>
      </c>
      <c r="I486" s="9" t="s">
        <v>45</v>
      </c>
      <c r="J486" s="9" t="s">
        <v>33</v>
      </c>
      <c r="K486" s="9">
        <v>12.29</v>
      </c>
      <c r="L486" s="2">
        <v>3</v>
      </c>
      <c r="M486" s="2">
        <v>6</v>
      </c>
      <c r="N486" s="2">
        <v>0</v>
      </c>
      <c r="P486" s="4">
        <f t="shared" si="114"/>
        <v>1</v>
      </c>
    </row>
    <row r="487" spans="1:16" x14ac:dyDescent="0.25">
      <c r="A487" s="1" t="str">
        <f t="shared" si="116"/>
        <v>P16</v>
      </c>
      <c r="B487" s="1">
        <f t="shared" si="116"/>
        <v>16</v>
      </c>
      <c r="C487" s="1">
        <f t="shared" si="116"/>
        <v>18</v>
      </c>
      <c r="D487" s="1">
        <f t="shared" si="116"/>
        <v>3</v>
      </c>
      <c r="E487" s="1">
        <f t="shared" si="116"/>
        <v>6</v>
      </c>
      <c r="F487" s="2">
        <f t="shared" si="113"/>
        <v>9</v>
      </c>
      <c r="H487" s="9" t="s">
        <v>92</v>
      </c>
      <c r="I487" s="9" t="s">
        <v>46</v>
      </c>
      <c r="J487" s="9" t="s">
        <v>33</v>
      </c>
      <c r="K487" s="9">
        <v>12.41</v>
      </c>
      <c r="L487" s="2">
        <v>3</v>
      </c>
      <c r="M487" s="2">
        <v>6</v>
      </c>
      <c r="N487" s="2">
        <v>300</v>
      </c>
      <c r="P487" s="4">
        <f t="shared" si="114"/>
        <v>1</v>
      </c>
    </row>
    <row r="488" spans="1:16" x14ac:dyDescent="0.25">
      <c r="A488" s="1" t="str">
        <f t="shared" si="116"/>
        <v>P16</v>
      </c>
      <c r="B488" s="1">
        <f t="shared" si="116"/>
        <v>16</v>
      </c>
      <c r="C488" s="1">
        <f t="shared" si="116"/>
        <v>19</v>
      </c>
      <c r="D488" s="1">
        <f t="shared" si="116"/>
        <v>3</v>
      </c>
      <c r="E488" s="1">
        <f t="shared" si="116"/>
        <v>5</v>
      </c>
      <c r="F488" s="2">
        <f t="shared" si="113"/>
        <v>9</v>
      </c>
      <c r="H488" s="9" t="s">
        <v>92</v>
      </c>
      <c r="I488" s="9" t="s">
        <v>47</v>
      </c>
      <c r="J488" s="9" t="s">
        <v>33</v>
      </c>
      <c r="K488" s="9">
        <v>12.49</v>
      </c>
      <c r="L488" s="2">
        <v>3</v>
      </c>
      <c r="M488" s="2">
        <v>6</v>
      </c>
      <c r="N488" s="2">
        <v>300</v>
      </c>
      <c r="P488" s="4">
        <f t="shared" si="114"/>
        <v>0</v>
      </c>
    </row>
    <row r="489" spans="1:16" x14ac:dyDescent="0.25">
      <c r="A489" s="1" t="str">
        <f t="shared" si="116"/>
        <v>P16</v>
      </c>
      <c r="B489" s="1">
        <f t="shared" si="116"/>
        <v>16</v>
      </c>
      <c r="C489" s="1">
        <f t="shared" si="116"/>
        <v>20</v>
      </c>
      <c r="D489" s="1">
        <f t="shared" si="116"/>
        <v>3</v>
      </c>
      <c r="E489" s="1">
        <f t="shared" si="116"/>
        <v>5</v>
      </c>
      <c r="F489" s="2">
        <f t="shared" si="113"/>
        <v>9</v>
      </c>
      <c r="H489" s="9" t="s">
        <v>92</v>
      </c>
      <c r="I489" s="9" t="s">
        <v>48</v>
      </c>
      <c r="J489" s="9" t="s">
        <v>33</v>
      </c>
      <c r="K489" s="9">
        <v>12.57</v>
      </c>
      <c r="L489" s="2">
        <v>3</v>
      </c>
      <c r="M489" s="2">
        <v>6</v>
      </c>
      <c r="N489" s="2">
        <v>300</v>
      </c>
      <c r="P489" s="4">
        <f t="shared" si="114"/>
        <v>0</v>
      </c>
    </row>
    <row r="490" spans="1:16" x14ac:dyDescent="0.25">
      <c r="A490" s="1" t="str">
        <f t="shared" si="116"/>
        <v>P16</v>
      </c>
      <c r="B490" s="1">
        <f t="shared" si="116"/>
        <v>16</v>
      </c>
      <c r="C490" s="1">
        <f t="shared" si="116"/>
        <v>21</v>
      </c>
      <c r="D490" s="1">
        <f t="shared" si="116"/>
        <v>3</v>
      </c>
      <c r="E490" s="1">
        <f t="shared" si="116"/>
        <v>5</v>
      </c>
      <c r="F490" s="2">
        <f t="shared" si="113"/>
        <v>9</v>
      </c>
      <c r="H490" s="9" t="s">
        <v>92</v>
      </c>
      <c r="I490" s="9" t="s">
        <v>49</v>
      </c>
      <c r="J490" s="9" t="s">
        <v>33</v>
      </c>
      <c r="K490" s="9">
        <v>11.57</v>
      </c>
      <c r="L490" s="2">
        <v>3</v>
      </c>
      <c r="M490" s="2">
        <v>5</v>
      </c>
      <c r="N490" s="2">
        <v>300</v>
      </c>
      <c r="P490" s="4">
        <f t="shared" si="114"/>
        <v>1</v>
      </c>
    </row>
    <row r="491" spans="1:16" x14ac:dyDescent="0.25">
      <c r="A491" s="1" t="str">
        <f t="shared" si="116"/>
        <v>P16</v>
      </c>
      <c r="B491" s="1">
        <f t="shared" si="116"/>
        <v>16</v>
      </c>
      <c r="C491" s="1">
        <f t="shared" si="116"/>
        <v>22</v>
      </c>
      <c r="D491" s="1">
        <f t="shared" si="116"/>
        <v>2</v>
      </c>
      <c r="E491" s="1">
        <f t="shared" si="116"/>
        <v>4</v>
      </c>
      <c r="F491" s="2">
        <f t="shared" si="113"/>
        <v>9</v>
      </c>
      <c r="H491" s="9" t="s">
        <v>92</v>
      </c>
      <c r="I491" s="9" t="s">
        <v>50</v>
      </c>
      <c r="J491" s="9" t="s">
        <v>33</v>
      </c>
      <c r="K491" s="9">
        <v>8.1</v>
      </c>
      <c r="L491" s="2">
        <v>2</v>
      </c>
      <c r="M491" s="2">
        <v>4</v>
      </c>
      <c r="N491" s="2">
        <v>0</v>
      </c>
      <c r="P491" s="4">
        <f t="shared" si="114"/>
        <v>1</v>
      </c>
    </row>
    <row r="492" spans="1:16" x14ac:dyDescent="0.25">
      <c r="A492" s="1" t="str">
        <f t="shared" si="116"/>
        <v>P24</v>
      </c>
      <c r="B492" s="1">
        <f t="shared" si="116"/>
        <v>24</v>
      </c>
      <c r="C492" s="1">
        <f t="shared" si="116"/>
        <v>18</v>
      </c>
      <c r="D492" s="1">
        <f t="shared" si="116"/>
        <v>4</v>
      </c>
      <c r="E492" s="1">
        <f t="shared" si="116"/>
        <v>8</v>
      </c>
      <c r="F492" s="2">
        <f t="shared" si="113"/>
        <v>9</v>
      </c>
      <c r="H492" s="9" t="s">
        <v>92</v>
      </c>
      <c r="I492" s="9" t="s">
        <v>51</v>
      </c>
      <c r="J492" s="9" t="s">
        <v>33</v>
      </c>
      <c r="K492" s="9">
        <v>16.079999999999998</v>
      </c>
      <c r="L492" s="2">
        <v>4</v>
      </c>
      <c r="M492" s="2">
        <v>8</v>
      </c>
      <c r="N492" s="2">
        <v>0.01</v>
      </c>
      <c r="P492" s="4">
        <f t="shared" si="114"/>
        <v>1</v>
      </c>
    </row>
    <row r="493" spans="1:16" x14ac:dyDescent="0.25">
      <c r="A493" s="1" t="str">
        <f t="shared" ref="A493:E508" si="117">A434</f>
        <v>P24</v>
      </c>
      <c r="B493" s="1">
        <f t="shared" si="117"/>
        <v>24</v>
      </c>
      <c r="C493" s="1">
        <f t="shared" si="117"/>
        <v>20</v>
      </c>
      <c r="D493" s="1">
        <f t="shared" si="117"/>
        <v>4</v>
      </c>
      <c r="E493" s="1">
        <f t="shared" si="117"/>
        <v>7</v>
      </c>
      <c r="F493" s="2">
        <f t="shared" si="113"/>
        <v>9</v>
      </c>
      <c r="H493" s="9" t="s">
        <v>92</v>
      </c>
      <c r="I493" s="9" t="s">
        <v>52</v>
      </c>
      <c r="J493" s="9" t="s">
        <v>33</v>
      </c>
      <c r="K493" s="9">
        <v>16.16</v>
      </c>
      <c r="L493" s="2">
        <v>4</v>
      </c>
      <c r="M493" s="2">
        <v>8</v>
      </c>
      <c r="N493" s="2">
        <v>300</v>
      </c>
      <c r="P493" s="4">
        <f t="shared" si="114"/>
        <v>0</v>
      </c>
    </row>
    <row r="494" spans="1:16" x14ac:dyDescent="0.25">
      <c r="A494" s="1" t="str">
        <f t="shared" si="117"/>
        <v>P24</v>
      </c>
      <c r="B494" s="1">
        <f t="shared" si="117"/>
        <v>24</v>
      </c>
      <c r="C494" s="1">
        <f t="shared" si="117"/>
        <v>24</v>
      </c>
      <c r="D494" s="1">
        <f t="shared" si="117"/>
        <v>3</v>
      </c>
      <c r="E494" s="1">
        <f t="shared" si="117"/>
        <v>6</v>
      </c>
      <c r="F494" s="2">
        <f t="shared" si="113"/>
        <v>9</v>
      </c>
      <c r="H494" s="9" t="s">
        <v>92</v>
      </c>
      <c r="I494" s="9" t="s">
        <v>53</v>
      </c>
      <c r="J494" s="9" t="s">
        <v>33</v>
      </c>
      <c r="K494" s="9">
        <v>12.05</v>
      </c>
      <c r="L494" s="2">
        <v>3</v>
      </c>
      <c r="M494" s="2">
        <v>6</v>
      </c>
      <c r="N494" s="2">
        <v>0</v>
      </c>
      <c r="P494" s="4">
        <f t="shared" si="114"/>
        <v>1</v>
      </c>
    </row>
    <row r="495" spans="1:16" x14ac:dyDescent="0.25">
      <c r="A495" s="1" t="str">
        <f t="shared" si="117"/>
        <v>P24</v>
      </c>
      <c r="B495" s="1">
        <f t="shared" si="117"/>
        <v>24</v>
      </c>
      <c r="C495" s="1">
        <f t="shared" si="117"/>
        <v>25</v>
      </c>
      <c r="D495" s="1">
        <f t="shared" si="117"/>
        <v>3</v>
      </c>
      <c r="E495" s="1">
        <f t="shared" si="117"/>
        <v>6</v>
      </c>
      <c r="F495" s="2">
        <f t="shared" si="113"/>
        <v>9</v>
      </c>
      <c r="H495" s="9" t="s">
        <v>92</v>
      </c>
      <c r="I495" s="9" t="s">
        <v>54</v>
      </c>
      <c r="J495" s="9" t="s">
        <v>33</v>
      </c>
      <c r="K495" s="9">
        <v>12.09</v>
      </c>
      <c r="L495" s="2">
        <v>3</v>
      </c>
      <c r="M495" s="2">
        <v>6</v>
      </c>
      <c r="N495" s="2">
        <v>0</v>
      </c>
      <c r="P495" s="4">
        <f t="shared" si="114"/>
        <v>1</v>
      </c>
    </row>
    <row r="496" spans="1:16" x14ac:dyDescent="0.25">
      <c r="A496" s="1" t="str">
        <f t="shared" si="117"/>
        <v>P24</v>
      </c>
      <c r="B496" s="1">
        <f t="shared" si="117"/>
        <v>24</v>
      </c>
      <c r="C496" s="1">
        <f t="shared" si="117"/>
        <v>30</v>
      </c>
      <c r="D496" s="1">
        <f t="shared" si="117"/>
        <v>3</v>
      </c>
      <c r="E496" s="1">
        <f t="shared" si="117"/>
        <v>5</v>
      </c>
      <c r="F496" s="2">
        <f t="shared" si="113"/>
        <v>9</v>
      </c>
      <c r="H496" s="9" t="s">
        <v>92</v>
      </c>
      <c r="I496" s="9" t="s">
        <v>55</v>
      </c>
      <c r="J496" s="9" t="s">
        <v>33</v>
      </c>
      <c r="K496" s="9">
        <v>11.24</v>
      </c>
      <c r="L496" s="2">
        <v>3</v>
      </c>
      <c r="M496" s="2">
        <v>5</v>
      </c>
      <c r="N496" s="2">
        <v>0</v>
      </c>
      <c r="P496" s="4">
        <f t="shared" si="114"/>
        <v>1</v>
      </c>
    </row>
    <row r="497" spans="1:16" x14ac:dyDescent="0.25">
      <c r="A497" s="1" t="str">
        <f t="shared" si="117"/>
        <v>P24</v>
      </c>
      <c r="B497" s="1">
        <f t="shared" si="117"/>
        <v>24</v>
      </c>
      <c r="C497" s="1">
        <f t="shared" si="117"/>
        <v>35</v>
      </c>
      <c r="D497" s="1">
        <f t="shared" si="117"/>
        <v>2</v>
      </c>
      <c r="E497" s="1">
        <f t="shared" si="117"/>
        <v>4</v>
      </c>
      <c r="F497" s="2">
        <f t="shared" si="113"/>
        <v>9</v>
      </c>
      <c r="H497" s="9" t="s">
        <v>92</v>
      </c>
      <c r="I497" s="9" t="s">
        <v>56</v>
      </c>
      <c r="J497" s="9" t="s">
        <v>33</v>
      </c>
      <c r="K497" s="9">
        <v>8</v>
      </c>
      <c r="L497" s="2">
        <v>2</v>
      </c>
      <c r="M497" s="2">
        <v>4</v>
      </c>
      <c r="N497" s="2">
        <v>0</v>
      </c>
      <c r="P497" s="4">
        <f t="shared" si="114"/>
        <v>1</v>
      </c>
    </row>
    <row r="498" spans="1:16" x14ac:dyDescent="0.25">
      <c r="A498" s="1" t="str">
        <f t="shared" si="117"/>
        <v>P24</v>
      </c>
      <c r="B498" s="1">
        <f t="shared" si="117"/>
        <v>24</v>
      </c>
      <c r="C498" s="1">
        <f t="shared" si="117"/>
        <v>40</v>
      </c>
      <c r="D498" s="1">
        <f t="shared" si="117"/>
        <v>2</v>
      </c>
      <c r="E498" s="1">
        <f t="shared" si="117"/>
        <v>4</v>
      </c>
      <c r="F498" s="2">
        <f t="shared" si="113"/>
        <v>9</v>
      </c>
      <c r="H498" s="9" t="s">
        <v>92</v>
      </c>
      <c r="I498" s="9" t="s">
        <v>57</v>
      </c>
      <c r="J498" s="9" t="s">
        <v>33</v>
      </c>
      <c r="K498" s="9">
        <v>8.1199999999999992</v>
      </c>
      <c r="L498" s="2">
        <v>2</v>
      </c>
      <c r="M498" s="2">
        <v>4</v>
      </c>
      <c r="N498" s="2">
        <v>0</v>
      </c>
      <c r="P498" s="4">
        <f t="shared" si="114"/>
        <v>1</v>
      </c>
    </row>
    <row r="499" spans="1:16" x14ac:dyDescent="0.25">
      <c r="A499" s="1" t="str">
        <f t="shared" si="117"/>
        <v>P65</v>
      </c>
      <c r="B499" s="1">
        <f t="shared" si="117"/>
        <v>65</v>
      </c>
      <c r="C499" s="1">
        <f t="shared" si="117"/>
        <v>326</v>
      </c>
      <c r="D499" s="1">
        <f t="shared" si="117"/>
        <v>8</v>
      </c>
      <c r="E499" s="1">
        <f t="shared" si="117"/>
        <v>16</v>
      </c>
      <c r="F499" s="2">
        <f t="shared" si="113"/>
        <v>9</v>
      </c>
      <c r="H499" s="9" t="s">
        <v>92</v>
      </c>
      <c r="I499" s="9" t="s">
        <v>58</v>
      </c>
      <c r="J499" s="9" t="s">
        <v>33</v>
      </c>
      <c r="K499" s="9">
        <v>32.07</v>
      </c>
      <c r="L499" s="2">
        <v>8</v>
      </c>
      <c r="M499" s="2">
        <v>16</v>
      </c>
      <c r="N499" s="2">
        <v>3.37</v>
      </c>
      <c r="P499" s="4">
        <f t="shared" si="114"/>
        <v>1</v>
      </c>
    </row>
    <row r="500" spans="1:16" x14ac:dyDescent="0.25">
      <c r="A500" s="1" t="str">
        <f t="shared" si="117"/>
        <v>P65</v>
      </c>
      <c r="B500" s="1">
        <f t="shared" si="117"/>
        <v>65</v>
      </c>
      <c r="C500" s="1">
        <f t="shared" si="117"/>
        <v>381</v>
      </c>
      <c r="D500" s="1">
        <f t="shared" si="117"/>
        <v>7</v>
      </c>
      <c r="E500" s="1">
        <f t="shared" si="117"/>
        <v>14</v>
      </c>
      <c r="F500" s="2">
        <f t="shared" si="113"/>
        <v>9</v>
      </c>
      <c r="H500" s="9" t="s">
        <v>92</v>
      </c>
      <c r="I500" s="9" t="s">
        <v>59</v>
      </c>
      <c r="J500" s="9" t="s">
        <v>33</v>
      </c>
      <c r="K500" s="9">
        <v>28.15</v>
      </c>
      <c r="L500" s="2">
        <v>7</v>
      </c>
      <c r="M500" s="2">
        <v>14</v>
      </c>
      <c r="N500" s="2">
        <v>0.04</v>
      </c>
      <c r="P500" s="4">
        <f t="shared" si="114"/>
        <v>1</v>
      </c>
    </row>
    <row r="501" spans="1:16" x14ac:dyDescent="0.25">
      <c r="A501" s="1" t="str">
        <f t="shared" si="117"/>
        <v>P65</v>
      </c>
      <c r="B501" s="1">
        <f t="shared" si="117"/>
        <v>65</v>
      </c>
      <c r="C501" s="1">
        <f t="shared" si="117"/>
        <v>435</v>
      </c>
      <c r="D501" s="1">
        <f t="shared" si="117"/>
        <v>6</v>
      </c>
      <c r="E501" s="1">
        <f t="shared" si="117"/>
        <v>12</v>
      </c>
      <c r="F501" s="2">
        <f t="shared" si="113"/>
        <v>9</v>
      </c>
      <c r="H501" s="9" t="s">
        <v>92</v>
      </c>
      <c r="I501" s="9" t="s">
        <v>60</v>
      </c>
      <c r="J501" s="9" t="s">
        <v>33</v>
      </c>
      <c r="K501" s="9">
        <v>24.07</v>
      </c>
      <c r="L501" s="2">
        <v>6</v>
      </c>
      <c r="M501" s="2">
        <v>12</v>
      </c>
      <c r="N501" s="2">
        <v>0.35</v>
      </c>
      <c r="P501" s="4">
        <f t="shared" si="114"/>
        <v>1</v>
      </c>
    </row>
    <row r="502" spans="1:16" x14ac:dyDescent="0.25">
      <c r="A502" s="1" t="str">
        <f t="shared" si="117"/>
        <v>P65</v>
      </c>
      <c r="B502" s="1">
        <f t="shared" si="117"/>
        <v>65</v>
      </c>
      <c r="C502" s="1">
        <f t="shared" si="117"/>
        <v>490</v>
      </c>
      <c r="D502" s="1">
        <f t="shared" si="117"/>
        <v>6</v>
      </c>
      <c r="E502" s="1">
        <f t="shared" si="117"/>
        <v>11</v>
      </c>
      <c r="F502" s="2">
        <f t="shared" si="113"/>
        <v>9</v>
      </c>
      <c r="H502" s="9" t="s">
        <v>92</v>
      </c>
      <c r="I502" s="9" t="s">
        <v>61</v>
      </c>
      <c r="J502" s="9" t="s">
        <v>33</v>
      </c>
      <c r="K502" s="9">
        <v>23.21</v>
      </c>
      <c r="L502" s="2">
        <v>6</v>
      </c>
      <c r="M502" s="2">
        <v>11</v>
      </c>
      <c r="N502" s="2">
        <v>0.02</v>
      </c>
      <c r="P502" s="4">
        <f t="shared" si="114"/>
        <v>1</v>
      </c>
    </row>
    <row r="503" spans="1:16" x14ac:dyDescent="0.25">
      <c r="A503" s="1" t="str">
        <f t="shared" si="117"/>
        <v>P65</v>
      </c>
      <c r="B503" s="1">
        <f t="shared" si="117"/>
        <v>65</v>
      </c>
      <c r="C503" s="1">
        <f t="shared" si="117"/>
        <v>512</v>
      </c>
      <c r="D503" s="1">
        <f t="shared" si="117"/>
        <v>5</v>
      </c>
      <c r="E503" s="1">
        <f t="shared" si="117"/>
        <v>10</v>
      </c>
      <c r="F503" s="2">
        <f t="shared" si="113"/>
        <v>9</v>
      </c>
      <c r="H503" s="9" t="s">
        <v>92</v>
      </c>
      <c r="I503" s="9" t="s">
        <v>62</v>
      </c>
      <c r="J503" s="9" t="s">
        <v>33</v>
      </c>
      <c r="K503" s="9">
        <v>23.19</v>
      </c>
      <c r="L503" s="2">
        <v>6</v>
      </c>
      <c r="M503" s="2">
        <v>11</v>
      </c>
      <c r="N503" s="2">
        <v>300</v>
      </c>
      <c r="P503" s="4">
        <f t="shared" si="114"/>
        <v>0</v>
      </c>
    </row>
    <row r="504" spans="1:16" x14ac:dyDescent="0.25">
      <c r="A504" s="1" t="str">
        <f t="shared" si="117"/>
        <v>P65</v>
      </c>
      <c r="B504" s="1">
        <f t="shared" si="117"/>
        <v>65</v>
      </c>
      <c r="C504" s="1">
        <f t="shared" si="117"/>
        <v>544</v>
      </c>
      <c r="D504" s="1">
        <f t="shared" si="117"/>
        <v>5</v>
      </c>
      <c r="E504" s="1">
        <f t="shared" si="117"/>
        <v>10</v>
      </c>
      <c r="F504" s="2">
        <f t="shared" si="113"/>
        <v>9</v>
      </c>
      <c r="H504" s="9" t="s">
        <v>92</v>
      </c>
      <c r="I504" s="9" t="s">
        <v>63</v>
      </c>
      <c r="J504" s="9" t="s">
        <v>33</v>
      </c>
      <c r="K504" s="9">
        <v>20.149999999999999</v>
      </c>
      <c r="L504" s="2">
        <v>5</v>
      </c>
      <c r="M504" s="2">
        <v>10</v>
      </c>
      <c r="N504" s="2">
        <v>0.01</v>
      </c>
      <c r="P504" s="4">
        <f t="shared" si="114"/>
        <v>1</v>
      </c>
    </row>
    <row r="505" spans="1:16" x14ac:dyDescent="0.25">
      <c r="A505" s="1" t="str">
        <f t="shared" si="117"/>
        <v>P148</v>
      </c>
      <c r="B505" s="1">
        <f t="shared" si="117"/>
        <v>148</v>
      </c>
      <c r="C505" s="1">
        <f t="shared" si="117"/>
        <v>204</v>
      </c>
      <c r="D505" s="1">
        <f t="shared" si="117"/>
        <v>13</v>
      </c>
      <c r="E505" s="1">
        <f t="shared" si="117"/>
        <v>26</v>
      </c>
      <c r="F505" s="2">
        <f t="shared" si="113"/>
        <v>9</v>
      </c>
      <c r="H505" s="9" t="s">
        <v>92</v>
      </c>
      <c r="I505" s="9" t="s">
        <v>64</v>
      </c>
      <c r="J505" s="9" t="s">
        <v>33</v>
      </c>
      <c r="K505" s="9">
        <v>52.17</v>
      </c>
      <c r="L505" s="2">
        <v>13</v>
      </c>
      <c r="M505" s="2">
        <v>26</v>
      </c>
      <c r="N505" s="2">
        <v>0.89</v>
      </c>
      <c r="P505" s="4">
        <f t="shared" si="114"/>
        <v>1</v>
      </c>
    </row>
    <row r="506" spans="1:16" x14ac:dyDescent="0.25">
      <c r="A506" s="1" t="str">
        <f t="shared" si="117"/>
        <v>P148</v>
      </c>
      <c r="B506" s="1">
        <f t="shared" si="117"/>
        <v>148</v>
      </c>
      <c r="C506" s="1">
        <f t="shared" si="117"/>
        <v>228</v>
      </c>
      <c r="D506" s="1">
        <f t="shared" si="117"/>
        <v>12</v>
      </c>
      <c r="E506" s="1">
        <f t="shared" si="117"/>
        <v>23</v>
      </c>
      <c r="F506" s="2">
        <f t="shared" si="113"/>
        <v>9</v>
      </c>
      <c r="H506" s="9" t="s">
        <v>92</v>
      </c>
      <c r="I506" s="9" t="s">
        <v>65</v>
      </c>
      <c r="J506" s="9" t="s">
        <v>33</v>
      </c>
      <c r="K506" s="9">
        <v>47.16</v>
      </c>
      <c r="L506" s="2">
        <v>12</v>
      </c>
      <c r="M506" s="2">
        <v>23</v>
      </c>
      <c r="N506" s="2">
        <v>2.02</v>
      </c>
      <c r="P506" s="4">
        <f t="shared" si="114"/>
        <v>1</v>
      </c>
    </row>
    <row r="507" spans="1:16" x14ac:dyDescent="0.25">
      <c r="A507" s="1" t="str">
        <f t="shared" si="117"/>
        <v>P148</v>
      </c>
      <c r="B507" s="1">
        <f t="shared" si="117"/>
        <v>148</v>
      </c>
      <c r="C507" s="1">
        <f t="shared" si="117"/>
        <v>255</v>
      </c>
      <c r="D507" s="1">
        <f t="shared" si="117"/>
        <v>11</v>
      </c>
      <c r="E507" s="1">
        <f t="shared" si="117"/>
        <v>21</v>
      </c>
      <c r="F507" s="2">
        <f t="shared" si="113"/>
        <v>9</v>
      </c>
      <c r="H507" s="9" t="s">
        <v>92</v>
      </c>
      <c r="I507" s="9" t="s">
        <v>66</v>
      </c>
      <c r="J507" s="9" t="s">
        <v>33</v>
      </c>
      <c r="K507" s="9">
        <v>43.25</v>
      </c>
      <c r="L507" s="2">
        <v>11</v>
      </c>
      <c r="M507" s="2">
        <v>21</v>
      </c>
      <c r="N507" s="2">
        <v>0.24</v>
      </c>
      <c r="P507" s="4">
        <f t="shared" si="114"/>
        <v>1</v>
      </c>
    </row>
    <row r="508" spans="1:16" x14ac:dyDescent="0.25">
      <c r="A508" s="1" t="str">
        <f t="shared" si="117"/>
        <v>P148</v>
      </c>
      <c r="B508" s="1">
        <f t="shared" si="117"/>
        <v>148</v>
      </c>
      <c r="C508" s="1">
        <f t="shared" si="117"/>
        <v>306</v>
      </c>
      <c r="D508" s="1">
        <f t="shared" si="117"/>
        <v>9</v>
      </c>
      <c r="E508" s="1">
        <f t="shared" si="117"/>
        <v>17</v>
      </c>
      <c r="F508" s="2">
        <f t="shared" si="113"/>
        <v>9</v>
      </c>
      <c r="H508" s="9" t="s">
        <v>92</v>
      </c>
      <c r="I508" s="9" t="s">
        <v>67</v>
      </c>
      <c r="J508" s="9" t="s">
        <v>33</v>
      </c>
      <c r="K508" s="9">
        <v>35.11</v>
      </c>
      <c r="L508" s="2">
        <v>9</v>
      </c>
      <c r="M508" s="2">
        <v>17</v>
      </c>
      <c r="N508" s="2">
        <v>0.2</v>
      </c>
      <c r="P508" s="4">
        <f t="shared" si="114"/>
        <v>1</v>
      </c>
    </row>
    <row r="509" spans="1:16" x14ac:dyDescent="0.25">
      <c r="A509" s="1" t="str">
        <f t="shared" ref="A509:E524" si="118">A450</f>
        <v>P148</v>
      </c>
      <c r="B509" s="1">
        <f t="shared" si="118"/>
        <v>148</v>
      </c>
      <c r="C509" s="1">
        <f t="shared" si="118"/>
        <v>357</v>
      </c>
      <c r="D509" s="1">
        <f t="shared" si="118"/>
        <v>8</v>
      </c>
      <c r="E509" s="1">
        <f t="shared" si="118"/>
        <v>15</v>
      </c>
      <c r="F509" s="2">
        <f t="shared" si="113"/>
        <v>9</v>
      </c>
      <c r="H509" s="9" t="s">
        <v>92</v>
      </c>
      <c r="I509" s="9" t="s">
        <v>68</v>
      </c>
      <c r="J509" s="9" t="s">
        <v>33</v>
      </c>
      <c r="K509" s="9">
        <v>31.21</v>
      </c>
      <c r="L509" s="2">
        <v>8</v>
      </c>
      <c r="M509" s="2">
        <v>15</v>
      </c>
      <c r="N509" s="2">
        <v>0.08</v>
      </c>
      <c r="P509" s="4">
        <f t="shared" si="114"/>
        <v>1</v>
      </c>
    </row>
    <row r="510" spans="1:16" x14ac:dyDescent="0.25">
      <c r="A510" s="1" t="str">
        <f t="shared" si="118"/>
        <v>P148</v>
      </c>
      <c r="B510" s="1">
        <f t="shared" si="118"/>
        <v>148</v>
      </c>
      <c r="C510" s="1">
        <f t="shared" si="118"/>
        <v>378</v>
      </c>
      <c r="D510" s="1">
        <f t="shared" si="118"/>
        <v>7</v>
      </c>
      <c r="E510" s="1">
        <f t="shared" si="118"/>
        <v>14</v>
      </c>
      <c r="F510" s="2">
        <f t="shared" ref="F510:F547" si="119">F451+1</f>
        <v>9</v>
      </c>
      <c r="H510" s="9" t="s">
        <v>92</v>
      </c>
      <c r="I510" s="9" t="s">
        <v>69</v>
      </c>
      <c r="J510" s="9" t="s">
        <v>33</v>
      </c>
      <c r="K510" s="9">
        <v>28.11</v>
      </c>
      <c r="L510" s="2">
        <v>7</v>
      </c>
      <c r="M510" s="2">
        <v>14</v>
      </c>
      <c r="N510" s="2">
        <v>1.44</v>
      </c>
      <c r="P510" s="4">
        <f t="shared" si="114"/>
        <v>1</v>
      </c>
    </row>
    <row r="511" spans="1:16" x14ac:dyDescent="0.25">
      <c r="A511" s="1" t="str">
        <f t="shared" si="118"/>
        <v>P148</v>
      </c>
      <c r="B511" s="1">
        <f t="shared" si="118"/>
        <v>148</v>
      </c>
      <c r="C511" s="1">
        <f t="shared" si="118"/>
        <v>408</v>
      </c>
      <c r="D511" s="1">
        <f t="shared" si="118"/>
        <v>7</v>
      </c>
      <c r="E511" s="1">
        <f t="shared" si="118"/>
        <v>13</v>
      </c>
      <c r="F511" s="2">
        <f t="shared" si="119"/>
        <v>9</v>
      </c>
      <c r="H511" s="9" t="s">
        <v>92</v>
      </c>
      <c r="I511" s="9" t="s">
        <v>70</v>
      </c>
      <c r="J511" s="9" t="s">
        <v>33</v>
      </c>
      <c r="K511" s="9">
        <v>27.16</v>
      </c>
      <c r="L511" s="2">
        <v>7</v>
      </c>
      <c r="M511" s="2">
        <v>13</v>
      </c>
      <c r="N511" s="2">
        <v>0.16</v>
      </c>
      <c r="P511" s="4">
        <f t="shared" si="114"/>
        <v>1</v>
      </c>
    </row>
    <row r="512" spans="1:16" x14ac:dyDescent="0.25">
      <c r="A512" s="1" t="str">
        <f t="shared" si="118"/>
        <v>P148</v>
      </c>
      <c r="B512" s="1">
        <f t="shared" si="118"/>
        <v>148</v>
      </c>
      <c r="C512" s="1">
        <f t="shared" si="118"/>
        <v>454</v>
      </c>
      <c r="D512" s="1">
        <f t="shared" si="118"/>
        <v>6</v>
      </c>
      <c r="E512" s="1">
        <f t="shared" si="118"/>
        <v>12</v>
      </c>
      <c r="F512" s="2">
        <f t="shared" si="119"/>
        <v>9</v>
      </c>
      <c r="H512" s="9" t="s">
        <v>92</v>
      </c>
      <c r="I512" s="9" t="s">
        <v>71</v>
      </c>
      <c r="J512" s="9" t="s">
        <v>33</v>
      </c>
      <c r="K512" s="9">
        <v>24.17</v>
      </c>
      <c r="L512" s="2">
        <v>6</v>
      </c>
      <c r="M512" s="2">
        <v>12</v>
      </c>
      <c r="N512" s="2">
        <v>0.42</v>
      </c>
      <c r="P512" s="4">
        <f t="shared" si="114"/>
        <v>1</v>
      </c>
    </row>
    <row r="513" spans="1:16" x14ac:dyDescent="0.25">
      <c r="A513" s="1" t="str">
        <f t="shared" si="118"/>
        <v>P148</v>
      </c>
      <c r="B513" s="1">
        <f t="shared" si="118"/>
        <v>148</v>
      </c>
      <c r="C513" s="1">
        <f t="shared" si="118"/>
        <v>459</v>
      </c>
      <c r="D513" s="1">
        <f t="shared" si="118"/>
        <v>6</v>
      </c>
      <c r="E513" s="1">
        <f t="shared" si="118"/>
        <v>12</v>
      </c>
      <c r="F513" s="2">
        <f t="shared" si="119"/>
        <v>9</v>
      </c>
      <c r="H513" s="9" t="s">
        <v>92</v>
      </c>
      <c r="I513" s="9" t="s">
        <v>72</v>
      </c>
      <c r="J513" s="9" t="s">
        <v>33</v>
      </c>
      <c r="K513" s="9">
        <v>24.14</v>
      </c>
      <c r="L513" s="2">
        <v>6</v>
      </c>
      <c r="M513" s="2">
        <v>12</v>
      </c>
      <c r="N513" s="2">
        <v>0.69</v>
      </c>
      <c r="P513" s="4">
        <f t="shared" si="114"/>
        <v>1</v>
      </c>
    </row>
    <row r="514" spans="1:16" x14ac:dyDescent="0.25">
      <c r="A514" s="1" t="str">
        <f t="shared" si="118"/>
        <v>P148</v>
      </c>
      <c r="B514" s="1">
        <f t="shared" si="118"/>
        <v>148</v>
      </c>
      <c r="C514" s="1">
        <f t="shared" si="118"/>
        <v>510</v>
      </c>
      <c r="D514" s="1">
        <f t="shared" si="118"/>
        <v>6</v>
      </c>
      <c r="E514" s="1">
        <f t="shared" si="118"/>
        <v>11</v>
      </c>
      <c r="F514" s="2">
        <f t="shared" si="119"/>
        <v>9</v>
      </c>
      <c r="H514" s="9" t="s">
        <v>92</v>
      </c>
      <c r="I514" s="9" t="s">
        <v>73</v>
      </c>
      <c r="J514" s="9" t="s">
        <v>33</v>
      </c>
      <c r="K514" s="9">
        <v>23.26</v>
      </c>
      <c r="L514" s="2">
        <v>6</v>
      </c>
      <c r="M514" s="2">
        <v>11</v>
      </c>
      <c r="N514" s="2">
        <v>0.03</v>
      </c>
      <c r="P514" s="4">
        <f t="shared" si="114"/>
        <v>1</v>
      </c>
    </row>
    <row r="515" spans="1:16" x14ac:dyDescent="0.25">
      <c r="A515" s="1" t="str">
        <f t="shared" si="118"/>
        <v>P205</v>
      </c>
      <c r="B515" s="1">
        <f t="shared" si="118"/>
        <v>205</v>
      </c>
      <c r="C515" s="1">
        <f t="shared" si="118"/>
        <v>1133</v>
      </c>
      <c r="D515" s="1">
        <f t="shared" si="118"/>
        <v>11</v>
      </c>
      <c r="E515" s="1">
        <f t="shared" si="118"/>
        <v>21</v>
      </c>
      <c r="F515" s="2">
        <f t="shared" si="119"/>
        <v>9</v>
      </c>
      <c r="H515" s="9" t="s">
        <v>92</v>
      </c>
      <c r="I515" s="9" t="s">
        <v>74</v>
      </c>
      <c r="J515" s="9" t="s">
        <v>33</v>
      </c>
      <c r="K515" s="9">
        <v>47.5</v>
      </c>
      <c r="L515" s="2">
        <v>12</v>
      </c>
      <c r="M515" s="2">
        <v>23</v>
      </c>
      <c r="N515" s="2">
        <v>300.02</v>
      </c>
      <c r="P515" s="4">
        <f t="shared" ref="P515:P578" si="120">IF(D515*100+E515=L515*100+M515,1,0)</f>
        <v>0</v>
      </c>
    </row>
    <row r="516" spans="1:16" x14ac:dyDescent="0.25">
      <c r="A516" s="1" t="str">
        <f t="shared" si="118"/>
        <v>P205</v>
      </c>
      <c r="B516" s="1">
        <f t="shared" si="118"/>
        <v>205</v>
      </c>
      <c r="C516" s="1">
        <f t="shared" si="118"/>
        <v>1275</v>
      </c>
      <c r="D516" s="1">
        <f t="shared" si="118"/>
        <v>10</v>
      </c>
      <c r="E516" s="1">
        <f t="shared" si="118"/>
        <v>19</v>
      </c>
      <c r="F516" s="2">
        <f t="shared" si="119"/>
        <v>9</v>
      </c>
      <c r="H516" s="9" t="s">
        <v>92</v>
      </c>
      <c r="I516" s="9" t="s">
        <v>75</v>
      </c>
      <c r="J516" s="9" t="s">
        <v>33</v>
      </c>
      <c r="K516" s="9">
        <v>40.26</v>
      </c>
      <c r="L516" s="2">
        <v>10</v>
      </c>
      <c r="M516" s="2">
        <v>20</v>
      </c>
      <c r="N516" s="2">
        <v>300.02</v>
      </c>
      <c r="P516" s="4">
        <f t="shared" si="120"/>
        <v>0</v>
      </c>
    </row>
    <row r="517" spans="1:16" x14ac:dyDescent="0.25">
      <c r="A517" s="1" t="str">
        <f t="shared" si="118"/>
        <v>P205</v>
      </c>
      <c r="B517" s="1">
        <f t="shared" si="118"/>
        <v>205</v>
      </c>
      <c r="C517" s="1">
        <f t="shared" si="118"/>
        <v>1322</v>
      </c>
      <c r="D517" s="1">
        <f t="shared" si="118"/>
        <v>9</v>
      </c>
      <c r="E517" s="1">
        <f t="shared" si="118"/>
        <v>18</v>
      </c>
      <c r="F517" s="2">
        <f t="shared" si="119"/>
        <v>9</v>
      </c>
      <c r="H517" s="9" t="s">
        <v>92</v>
      </c>
      <c r="I517" s="9" t="s">
        <v>76</v>
      </c>
      <c r="J517" s="9" t="s">
        <v>33</v>
      </c>
      <c r="K517" s="9">
        <v>40.35</v>
      </c>
      <c r="L517" s="2">
        <v>10</v>
      </c>
      <c r="M517" s="2">
        <v>20</v>
      </c>
      <c r="N517" s="2">
        <v>300.01</v>
      </c>
      <c r="P517" s="4">
        <f t="shared" si="120"/>
        <v>0</v>
      </c>
    </row>
    <row r="518" spans="1:16" x14ac:dyDescent="0.25">
      <c r="A518" s="1" t="str">
        <f t="shared" si="118"/>
        <v>P205</v>
      </c>
      <c r="B518" s="1">
        <f t="shared" si="118"/>
        <v>205</v>
      </c>
      <c r="C518" s="1">
        <f t="shared" si="118"/>
        <v>1455</v>
      </c>
      <c r="D518" s="1">
        <f t="shared" si="118"/>
        <v>9</v>
      </c>
      <c r="E518" s="1">
        <f t="shared" si="118"/>
        <v>17</v>
      </c>
      <c r="F518" s="2">
        <f t="shared" si="119"/>
        <v>9</v>
      </c>
      <c r="H518" s="9" t="s">
        <v>92</v>
      </c>
      <c r="I518" s="9" t="s">
        <v>77</v>
      </c>
      <c r="J518" s="9" t="s">
        <v>33</v>
      </c>
      <c r="K518" s="9">
        <v>36.31</v>
      </c>
      <c r="L518" s="2">
        <v>9</v>
      </c>
      <c r="M518" s="2">
        <v>18</v>
      </c>
      <c r="N518" s="2">
        <v>300.05</v>
      </c>
      <c r="P518" s="4">
        <f t="shared" si="120"/>
        <v>0</v>
      </c>
    </row>
    <row r="519" spans="1:16" x14ac:dyDescent="0.25">
      <c r="A519" s="1" t="str">
        <f t="shared" si="118"/>
        <v>P205</v>
      </c>
      <c r="B519" s="1">
        <f t="shared" si="118"/>
        <v>205</v>
      </c>
      <c r="C519" s="1">
        <f t="shared" si="118"/>
        <v>1510</v>
      </c>
      <c r="D519" s="1">
        <f t="shared" si="118"/>
        <v>8</v>
      </c>
      <c r="E519" s="1">
        <f t="shared" si="118"/>
        <v>16</v>
      </c>
      <c r="F519" s="2">
        <f t="shared" si="119"/>
        <v>9</v>
      </c>
      <c r="H519" s="9" t="s">
        <v>92</v>
      </c>
      <c r="I519" s="9" t="s">
        <v>78</v>
      </c>
      <c r="J519" s="9" t="s">
        <v>33</v>
      </c>
      <c r="K519" s="9">
        <v>35.33</v>
      </c>
      <c r="L519" s="2">
        <v>9</v>
      </c>
      <c r="M519" s="2">
        <v>17</v>
      </c>
      <c r="N519" s="2">
        <v>300.04000000000002</v>
      </c>
      <c r="P519" s="4">
        <f t="shared" si="120"/>
        <v>0</v>
      </c>
    </row>
    <row r="520" spans="1:16" x14ac:dyDescent="0.25">
      <c r="A520" s="1" t="str">
        <f t="shared" si="118"/>
        <v>P205</v>
      </c>
      <c r="B520" s="1">
        <f t="shared" si="118"/>
        <v>205</v>
      </c>
      <c r="C520" s="1">
        <f t="shared" si="118"/>
        <v>1650</v>
      </c>
      <c r="D520" s="1">
        <f t="shared" si="118"/>
        <v>8</v>
      </c>
      <c r="E520" s="1">
        <f t="shared" si="118"/>
        <v>15</v>
      </c>
      <c r="F520" s="2">
        <f t="shared" si="119"/>
        <v>9</v>
      </c>
      <c r="H520" s="9" t="s">
        <v>92</v>
      </c>
      <c r="I520" s="9" t="s">
        <v>79</v>
      </c>
      <c r="J520" s="9" t="s">
        <v>33</v>
      </c>
      <c r="K520" s="9">
        <v>32.31</v>
      </c>
      <c r="L520" s="2">
        <v>8</v>
      </c>
      <c r="M520" s="2">
        <v>16</v>
      </c>
      <c r="N520" s="2">
        <v>300.01</v>
      </c>
      <c r="P520" s="4">
        <f t="shared" si="120"/>
        <v>0</v>
      </c>
    </row>
    <row r="521" spans="1:16" x14ac:dyDescent="0.25">
      <c r="A521" s="1" t="str">
        <f t="shared" si="118"/>
        <v>P205</v>
      </c>
      <c r="B521" s="1">
        <f t="shared" si="118"/>
        <v>205</v>
      </c>
      <c r="C521" s="1">
        <f t="shared" si="118"/>
        <v>1699</v>
      </c>
      <c r="D521" s="1">
        <f t="shared" si="118"/>
        <v>7</v>
      </c>
      <c r="E521" s="1">
        <f t="shared" si="118"/>
        <v>14</v>
      </c>
      <c r="F521" s="2">
        <f t="shared" si="119"/>
        <v>9</v>
      </c>
      <c r="H521" s="9" t="s">
        <v>92</v>
      </c>
      <c r="I521" s="9" t="s">
        <v>80</v>
      </c>
      <c r="J521" s="9" t="s">
        <v>33</v>
      </c>
      <c r="K521" s="9">
        <v>32.32</v>
      </c>
      <c r="L521" s="2">
        <v>8</v>
      </c>
      <c r="M521" s="2">
        <v>16</v>
      </c>
      <c r="N521" s="2">
        <v>300.02999999999997</v>
      </c>
      <c r="P521" s="4">
        <f t="shared" si="120"/>
        <v>0</v>
      </c>
    </row>
    <row r="522" spans="1:16" x14ac:dyDescent="0.25">
      <c r="A522" s="1" t="str">
        <f t="shared" si="118"/>
        <v>P205</v>
      </c>
      <c r="B522" s="1">
        <f t="shared" si="118"/>
        <v>205</v>
      </c>
      <c r="C522" s="1">
        <f t="shared" si="118"/>
        <v>1888</v>
      </c>
      <c r="D522" s="1">
        <f t="shared" si="118"/>
        <v>7</v>
      </c>
      <c r="E522" s="1">
        <f t="shared" si="118"/>
        <v>13</v>
      </c>
      <c r="F522" s="2">
        <f t="shared" si="119"/>
        <v>9</v>
      </c>
      <c r="H522" s="9" t="s">
        <v>92</v>
      </c>
      <c r="I522" s="9" t="s">
        <v>81</v>
      </c>
      <c r="J522" s="9" t="s">
        <v>33</v>
      </c>
      <c r="K522" s="9">
        <v>28.24</v>
      </c>
      <c r="L522" s="2">
        <v>7</v>
      </c>
      <c r="M522" s="2">
        <v>14</v>
      </c>
      <c r="N522" s="2">
        <v>300.01</v>
      </c>
      <c r="P522" s="4">
        <f t="shared" si="120"/>
        <v>0</v>
      </c>
    </row>
    <row r="523" spans="1:16" x14ac:dyDescent="0.25">
      <c r="A523" s="1" t="str">
        <f t="shared" si="118"/>
        <v>P205</v>
      </c>
      <c r="B523" s="1">
        <f t="shared" si="118"/>
        <v>205</v>
      </c>
      <c r="C523" s="1">
        <f t="shared" si="118"/>
        <v>1920</v>
      </c>
      <c r="D523" s="1">
        <f t="shared" si="118"/>
        <v>7</v>
      </c>
      <c r="E523" s="1">
        <f t="shared" si="118"/>
        <v>13</v>
      </c>
      <c r="F523" s="2">
        <f t="shared" si="119"/>
        <v>9</v>
      </c>
      <c r="H523" s="9" t="s">
        <v>92</v>
      </c>
      <c r="I523" s="9" t="s">
        <v>82</v>
      </c>
      <c r="J523" s="9" t="s">
        <v>33</v>
      </c>
      <c r="K523" s="9">
        <v>28.27</v>
      </c>
      <c r="L523" s="2">
        <v>7</v>
      </c>
      <c r="M523" s="2">
        <v>14</v>
      </c>
      <c r="N523" s="2">
        <v>300.01</v>
      </c>
      <c r="P523" s="4">
        <f t="shared" si="120"/>
        <v>0</v>
      </c>
    </row>
    <row r="524" spans="1:16" x14ac:dyDescent="0.25">
      <c r="A524" s="1" t="str">
        <f t="shared" si="118"/>
        <v>P205</v>
      </c>
      <c r="B524" s="1">
        <f t="shared" si="118"/>
        <v>205</v>
      </c>
      <c r="C524" s="1">
        <f t="shared" si="118"/>
        <v>2077</v>
      </c>
      <c r="D524" s="1">
        <f t="shared" si="118"/>
        <v>6</v>
      </c>
      <c r="E524" s="1">
        <f t="shared" si="118"/>
        <v>12</v>
      </c>
      <c r="F524" s="2">
        <f t="shared" si="119"/>
        <v>9</v>
      </c>
      <c r="H524" s="9" t="s">
        <v>92</v>
      </c>
      <c r="I524" s="9" t="s">
        <v>83</v>
      </c>
      <c r="J524" s="9" t="s">
        <v>33</v>
      </c>
      <c r="K524" s="9">
        <v>27.58</v>
      </c>
      <c r="L524" s="2">
        <v>7</v>
      </c>
      <c r="M524" s="2">
        <v>13</v>
      </c>
      <c r="N524" s="2">
        <v>300.01</v>
      </c>
      <c r="P524" s="4">
        <f t="shared" si="120"/>
        <v>0</v>
      </c>
    </row>
    <row r="525" spans="1:16" x14ac:dyDescent="0.25">
      <c r="A525" s="1" t="str">
        <f t="shared" ref="A525:E540" si="121">A466</f>
        <v>P205</v>
      </c>
      <c r="B525" s="1">
        <f t="shared" si="121"/>
        <v>205</v>
      </c>
      <c r="C525" s="1">
        <f t="shared" si="121"/>
        <v>2100</v>
      </c>
      <c r="D525" s="1">
        <f t="shared" si="121"/>
        <v>6</v>
      </c>
      <c r="E525" s="1">
        <f t="shared" si="121"/>
        <v>12</v>
      </c>
      <c r="F525" s="2">
        <f t="shared" si="119"/>
        <v>9</v>
      </c>
      <c r="H525" s="9" t="s">
        <v>92</v>
      </c>
      <c r="I525" s="9" t="s">
        <v>84</v>
      </c>
      <c r="J525" s="9" t="s">
        <v>33</v>
      </c>
      <c r="K525" s="9">
        <v>27.44</v>
      </c>
      <c r="L525" s="2">
        <v>7</v>
      </c>
      <c r="M525" s="2">
        <v>13</v>
      </c>
      <c r="N525" s="2">
        <v>300.01</v>
      </c>
      <c r="P525" s="4">
        <f t="shared" si="120"/>
        <v>0</v>
      </c>
    </row>
    <row r="526" spans="1:16" x14ac:dyDescent="0.25">
      <c r="A526" s="1" t="str">
        <f t="shared" si="121"/>
        <v>P205</v>
      </c>
      <c r="B526" s="1">
        <f t="shared" si="121"/>
        <v>205</v>
      </c>
      <c r="C526" s="1">
        <f t="shared" si="121"/>
        <v>2266</v>
      </c>
      <c r="D526" s="1">
        <f t="shared" si="121"/>
        <v>6</v>
      </c>
      <c r="E526" s="1">
        <f t="shared" si="121"/>
        <v>11</v>
      </c>
      <c r="F526" s="2">
        <f t="shared" si="119"/>
        <v>9</v>
      </c>
      <c r="H526" s="9" t="s">
        <v>92</v>
      </c>
      <c r="I526" s="9" t="s">
        <v>85</v>
      </c>
      <c r="J526" s="9" t="s">
        <v>33</v>
      </c>
      <c r="K526" s="9">
        <v>24.3</v>
      </c>
      <c r="L526" s="2">
        <v>6</v>
      </c>
      <c r="M526" s="2">
        <v>12</v>
      </c>
      <c r="N526" s="2">
        <v>300.02999999999997</v>
      </c>
      <c r="P526" s="4">
        <f t="shared" si="120"/>
        <v>0</v>
      </c>
    </row>
    <row r="527" spans="1:16" x14ac:dyDescent="0.25">
      <c r="A527" s="1" t="str">
        <f t="shared" si="121"/>
        <v>P205</v>
      </c>
      <c r="B527" s="1">
        <f t="shared" si="121"/>
        <v>205</v>
      </c>
      <c r="C527" s="1">
        <f t="shared" si="121"/>
        <v>2300</v>
      </c>
      <c r="D527" s="1">
        <f t="shared" si="121"/>
        <v>6</v>
      </c>
      <c r="E527" s="1">
        <f t="shared" si="121"/>
        <v>11</v>
      </c>
      <c r="F527" s="2">
        <f t="shared" si="119"/>
        <v>9</v>
      </c>
      <c r="H527" s="9" t="s">
        <v>92</v>
      </c>
      <c r="I527" s="9" t="s">
        <v>86</v>
      </c>
      <c r="J527" s="9" t="s">
        <v>33</v>
      </c>
      <c r="K527" s="9">
        <v>24.34</v>
      </c>
      <c r="L527" s="2">
        <v>6</v>
      </c>
      <c r="M527" s="2">
        <v>12</v>
      </c>
      <c r="N527" s="2">
        <v>300.01</v>
      </c>
      <c r="P527" s="4">
        <f t="shared" si="120"/>
        <v>0</v>
      </c>
    </row>
    <row r="528" spans="1:16" x14ac:dyDescent="0.25">
      <c r="A528" s="1" t="str">
        <f t="shared" si="121"/>
        <v>P205</v>
      </c>
      <c r="B528" s="1">
        <f t="shared" si="121"/>
        <v>205</v>
      </c>
      <c r="C528" s="1">
        <f t="shared" si="121"/>
        <v>2454</v>
      </c>
      <c r="D528" s="1">
        <f t="shared" si="121"/>
        <v>5</v>
      </c>
      <c r="E528" s="1">
        <f t="shared" si="121"/>
        <v>10</v>
      </c>
      <c r="F528" s="2">
        <f t="shared" si="119"/>
        <v>9</v>
      </c>
      <c r="H528" s="9" t="s">
        <v>92</v>
      </c>
      <c r="I528" s="9" t="s">
        <v>87</v>
      </c>
      <c r="J528" s="9" t="s">
        <v>33</v>
      </c>
      <c r="K528" s="9">
        <v>24.42</v>
      </c>
      <c r="L528" s="2">
        <v>6</v>
      </c>
      <c r="M528" s="2">
        <v>12</v>
      </c>
      <c r="N528" s="2">
        <v>300.02</v>
      </c>
      <c r="P528" s="4">
        <f t="shared" si="120"/>
        <v>0</v>
      </c>
    </row>
    <row r="529" spans="1:16" x14ac:dyDescent="0.25">
      <c r="A529" s="1" t="str">
        <f t="shared" si="121"/>
        <v>P205</v>
      </c>
      <c r="B529" s="1">
        <f t="shared" si="121"/>
        <v>205</v>
      </c>
      <c r="C529" s="1">
        <f t="shared" si="121"/>
        <v>2500</v>
      </c>
      <c r="D529" s="1">
        <f t="shared" si="121"/>
        <v>5</v>
      </c>
      <c r="E529" s="1">
        <f t="shared" si="121"/>
        <v>10</v>
      </c>
      <c r="F529" s="2">
        <f t="shared" si="119"/>
        <v>9</v>
      </c>
      <c r="H529" s="9" t="s">
        <v>92</v>
      </c>
      <c r="I529" s="9" t="s">
        <v>88</v>
      </c>
      <c r="J529" s="9" t="s">
        <v>33</v>
      </c>
      <c r="K529" s="9">
        <v>24.43</v>
      </c>
      <c r="L529" s="2">
        <v>6</v>
      </c>
      <c r="M529" s="2">
        <v>12</v>
      </c>
      <c r="N529" s="2">
        <v>300.05</v>
      </c>
      <c r="P529" s="4">
        <f t="shared" si="120"/>
        <v>0</v>
      </c>
    </row>
    <row r="530" spans="1:16" x14ac:dyDescent="0.25">
      <c r="A530" s="1" t="str">
        <f t="shared" si="121"/>
        <v>P205</v>
      </c>
      <c r="B530" s="1">
        <f t="shared" si="121"/>
        <v>205</v>
      </c>
      <c r="C530" s="1">
        <f t="shared" si="121"/>
        <v>2643</v>
      </c>
      <c r="D530" s="1">
        <f t="shared" si="121"/>
        <v>5</v>
      </c>
      <c r="E530" s="1">
        <f t="shared" si="121"/>
        <v>9</v>
      </c>
      <c r="F530" s="2">
        <f t="shared" si="119"/>
        <v>9</v>
      </c>
      <c r="H530" s="9" t="s">
        <v>92</v>
      </c>
      <c r="I530" s="9" t="s">
        <v>89</v>
      </c>
      <c r="J530" s="9" t="s">
        <v>33</v>
      </c>
      <c r="K530" s="9">
        <v>23.96</v>
      </c>
      <c r="L530" s="2">
        <v>6</v>
      </c>
      <c r="M530" s="2">
        <v>11</v>
      </c>
      <c r="N530" s="2">
        <v>300.01</v>
      </c>
      <c r="P530" s="4">
        <f t="shared" si="120"/>
        <v>0</v>
      </c>
    </row>
    <row r="531" spans="1:16" x14ac:dyDescent="0.25">
      <c r="A531" s="1" t="str">
        <f t="shared" si="121"/>
        <v>P205</v>
      </c>
      <c r="B531" s="1">
        <f t="shared" si="121"/>
        <v>205</v>
      </c>
      <c r="C531" s="1">
        <f t="shared" si="121"/>
        <v>2800</v>
      </c>
      <c r="D531" s="1">
        <f t="shared" si="121"/>
        <v>5</v>
      </c>
      <c r="E531" s="1">
        <f t="shared" si="121"/>
        <v>9</v>
      </c>
      <c r="F531" s="2">
        <f t="shared" si="119"/>
        <v>9</v>
      </c>
      <c r="H531" s="9" t="s">
        <v>92</v>
      </c>
      <c r="I531" s="9" t="s">
        <v>90</v>
      </c>
      <c r="J531" s="9" t="s">
        <v>33</v>
      </c>
      <c r="K531" s="9">
        <v>20.34</v>
      </c>
      <c r="L531" s="2">
        <v>5</v>
      </c>
      <c r="M531" s="2">
        <v>10</v>
      </c>
      <c r="N531" s="2">
        <v>300.01</v>
      </c>
      <c r="P531" s="4">
        <f t="shared" si="120"/>
        <v>0</v>
      </c>
    </row>
    <row r="532" spans="1:16" x14ac:dyDescent="0.25">
      <c r="A532" s="1" t="str">
        <f t="shared" si="121"/>
        <v>P205</v>
      </c>
      <c r="B532" s="1">
        <f t="shared" si="121"/>
        <v>205</v>
      </c>
      <c r="C532" s="1">
        <f t="shared" si="121"/>
        <v>2832</v>
      </c>
      <c r="D532" s="1">
        <f t="shared" si="121"/>
        <v>5</v>
      </c>
      <c r="E532" s="1">
        <f t="shared" si="121"/>
        <v>9</v>
      </c>
      <c r="F532" s="2">
        <f t="shared" si="119"/>
        <v>9</v>
      </c>
      <c r="H532" s="9" t="s">
        <v>92</v>
      </c>
      <c r="I532" s="9" t="s">
        <v>91</v>
      </c>
      <c r="J532" s="9" t="s">
        <v>33</v>
      </c>
      <c r="K532" s="9">
        <v>20.350000000000001</v>
      </c>
      <c r="L532" s="2">
        <v>5</v>
      </c>
      <c r="M532" s="2">
        <v>10</v>
      </c>
      <c r="N532" s="2">
        <v>300.02</v>
      </c>
      <c r="P532" s="4">
        <f t="shared" si="120"/>
        <v>0</v>
      </c>
    </row>
    <row r="533" spans="1:16" x14ac:dyDescent="0.25">
      <c r="A533" s="1" t="str">
        <f t="shared" si="121"/>
        <v>P9</v>
      </c>
      <c r="B533" s="1">
        <f t="shared" si="121"/>
        <v>9</v>
      </c>
      <c r="C533" s="1">
        <f t="shared" si="121"/>
        <v>3</v>
      </c>
      <c r="D533" s="1">
        <f t="shared" si="121"/>
        <v>3</v>
      </c>
      <c r="E533" s="1">
        <f t="shared" si="121"/>
        <v>6</v>
      </c>
      <c r="F533" s="2">
        <f t="shared" si="119"/>
        <v>10</v>
      </c>
      <c r="H533" s="9" t="s">
        <v>92</v>
      </c>
      <c r="I533" s="9" t="s">
        <v>32</v>
      </c>
      <c r="J533" s="9" t="s">
        <v>33</v>
      </c>
      <c r="K533" s="9">
        <v>12.17</v>
      </c>
      <c r="L533" s="2">
        <v>3</v>
      </c>
      <c r="M533" s="2">
        <v>6</v>
      </c>
      <c r="N533" s="2">
        <v>0</v>
      </c>
      <c r="P533" s="4">
        <f t="shared" si="120"/>
        <v>1</v>
      </c>
    </row>
    <row r="534" spans="1:16" x14ac:dyDescent="0.25">
      <c r="A534" s="1" t="str">
        <f t="shared" si="121"/>
        <v>P9</v>
      </c>
      <c r="B534" s="1">
        <f t="shared" si="121"/>
        <v>9</v>
      </c>
      <c r="C534" s="1">
        <f t="shared" si="121"/>
        <v>4</v>
      </c>
      <c r="D534" s="1">
        <f t="shared" si="121"/>
        <v>3</v>
      </c>
      <c r="E534" s="1">
        <f t="shared" si="121"/>
        <v>5</v>
      </c>
      <c r="F534" s="2">
        <f t="shared" si="119"/>
        <v>10</v>
      </c>
      <c r="H534" s="9" t="s">
        <v>92</v>
      </c>
      <c r="I534" s="9" t="s">
        <v>34</v>
      </c>
      <c r="J534" s="9" t="s">
        <v>33</v>
      </c>
      <c r="K534" s="9">
        <v>11.42</v>
      </c>
      <c r="L534" s="2">
        <v>3</v>
      </c>
      <c r="M534" s="2">
        <v>5</v>
      </c>
      <c r="N534" s="2">
        <v>0</v>
      </c>
      <c r="P534" s="4">
        <f t="shared" si="120"/>
        <v>1</v>
      </c>
    </row>
    <row r="535" spans="1:16" x14ac:dyDescent="0.25">
      <c r="A535" s="1" t="str">
        <f t="shared" si="121"/>
        <v>P9</v>
      </c>
      <c r="B535" s="1">
        <f t="shared" si="121"/>
        <v>9</v>
      </c>
      <c r="C535" s="1">
        <f t="shared" si="121"/>
        <v>5</v>
      </c>
      <c r="D535" s="1">
        <f t="shared" si="121"/>
        <v>2</v>
      </c>
      <c r="E535" s="1">
        <f t="shared" si="121"/>
        <v>4</v>
      </c>
      <c r="F535" s="2">
        <f t="shared" si="119"/>
        <v>10</v>
      </c>
      <c r="H535" s="9" t="s">
        <v>92</v>
      </c>
      <c r="I535" s="9" t="s">
        <v>35</v>
      </c>
      <c r="J535" s="9" t="s">
        <v>33</v>
      </c>
      <c r="K535" s="9">
        <v>8.15</v>
      </c>
      <c r="L535" s="2">
        <v>2</v>
      </c>
      <c r="M535" s="2">
        <v>4</v>
      </c>
      <c r="N535" s="2">
        <v>0</v>
      </c>
      <c r="P535" s="4">
        <f t="shared" si="120"/>
        <v>1</v>
      </c>
    </row>
    <row r="536" spans="1:16" x14ac:dyDescent="0.25">
      <c r="A536" s="1" t="str">
        <f t="shared" si="121"/>
        <v>P9</v>
      </c>
      <c r="B536" s="1">
        <f t="shared" si="121"/>
        <v>9</v>
      </c>
      <c r="C536" s="1">
        <f t="shared" si="121"/>
        <v>6</v>
      </c>
      <c r="D536" s="1">
        <f t="shared" si="121"/>
        <v>2</v>
      </c>
      <c r="E536" s="1">
        <f t="shared" si="121"/>
        <v>3</v>
      </c>
      <c r="F536" s="2">
        <f t="shared" si="119"/>
        <v>10</v>
      </c>
      <c r="H536" s="9" t="s">
        <v>92</v>
      </c>
      <c r="I536" s="9" t="s">
        <v>36</v>
      </c>
      <c r="J536" s="9" t="s">
        <v>33</v>
      </c>
      <c r="K536" s="9">
        <v>7.29</v>
      </c>
      <c r="L536" s="2">
        <v>2</v>
      </c>
      <c r="M536" s="2">
        <v>3</v>
      </c>
      <c r="N536" s="2">
        <v>0</v>
      </c>
      <c r="P536" s="4">
        <f t="shared" si="120"/>
        <v>1</v>
      </c>
    </row>
    <row r="537" spans="1:16" x14ac:dyDescent="0.25">
      <c r="A537" s="1" t="str">
        <f t="shared" si="121"/>
        <v>P9</v>
      </c>
      <c r="B537" s="1">
        <f t="shared" si="121"/>
        <v>9</v>
      </c>
      <c r="C537" s="1">
        <f t="shared" si="121"/>
        <v>7</v>
      </c>
      <c r="D537" s="1">
        <f t="shared" si="121"/>
        <v>2</v>
      </c>
      <c r="E537" s="1">
        <f t="shared" si="121"/>
        <v>3</v>
      </c>
      <c r="F537" s="2">
        <f t="shared" si="119"/>
        <v>10</v>
      </c>
      <c r="H537" s="9" t="s">
        <v>92</v>
      </c>
      <c r="I537" s="9" t="s">
        <v>37</v>
      </c>
      <c r="J537" s="9" t="s">
        <v>33</v>
      </c>
      <c r="K537" s="9">
        <v>7.39</v>
      </c>
      <c r="L537" s="2">
        <v>2</v>
      </c>
      <c r="M537" s="2">
        <v>3</v>
      </c>
      <c r="N537" s="2">
        <v>0</v>
      </c>
      <c r="P537" s="4">
        <f t="shared" si="120"/>
        <v>1</v>
      </c>
    </row>
    <row r="538" spans="1:16" x14ac:dyDescent="0.25">
      <c r="A538" s="1" t="str">
        <f t="shared" si="121"/>
        <v>P12</v>
      </c>
      <c r="B538" s="1">
        <f t="shared" si="121"/>
        <v>12</v>
      </c>
      <c r="C538" s="1">
        <f t="shared" si="121"/>
        <v>4</v>
      </c>
      <c r="D538" s="1">
        <f t="shared" si="121"/>
        <v>4</v>
      </c>
      <c r="E538" s="1">
        <f t="shared" si="121"/>
        <v>7</v>
      </c>
      <c r="F538" s="2">
        <f t="shared" si="119"/>
        <v>10</v>
      </c>
      <c r="H538" s="9" t="s">
        <v>92</v>
      </c>
      <c r="I538" s="9" t="s">
        <v>38</v>
      </c>
      <c r="J538" s="9" t="s">
        <v>33</v>
      </c>
      <c r="K538" s="9">
        <v>15.31</v>
      </c>
      <c r="L538" s="2">
        <v>4</v>
      </c>
      <c r="M538" s="2">
        <v>7</v>
      </c>
      <c r="N538" s="2">
        <v>0</v>
      </c>
      <c r="P538" s="4">
        <f t="shared" si="120"/>
        <v>1</v>
      </c>
    </row>
    <row r="539" spans="1:16" x14ac:dyDescent="0.25">
      <c r="A539" s="1" t="str">
        <f t="shared" si="121"/>
        <v>P12</v>
      </c>
      <c r="B539" s="1">
        <f t="shared" si="121"/>
        <v>12</v>
      </c>
      <c r="C539" s="1">
        <f t="shared" si="121"/>
        <v>5</v>
      </c>
      <c r="D539" s="1">
        <f t="shared" si="121"/>
        <v>3</v>
      </c>
      <c r="E539" s="1">
        <f t="shared" si="121"/>
        <v>6</v>
      </c>
      <c r="F539" s="2">
        <f t="shared" si="119"/>
        <v>10</v>
      </c>
      <c r="H539" s="9" t="s">
        <v>92</v>
      </c>
      <c r="I539" s="9" t="s">
        <v>39</v>
      </c>
      <c r="J539" s="9" t="s">
        <v>33</v>
      </c>
      <c r="K539" s="9">
        <v>12.23</v>
      </c>
      <c r="L539" s="2">
        <v>3</v>
      </c>
      <c r="M539" s="2">
        <v>6</v>
      </c>
      <c r="N539" s="2">
        <v>300</v>
      </c>
      <c r="P539" s="4">
        <f t="shared" si="120"/>
        <v>1</v>
      </c>
    </row>
    <row r="540" spans="1:16" x14ac:dyDescent="0.25">
      <c r="A540" s="1" t="str">
        <f t="shared" si="121"/>
        <v>P12</v>
      </c>
      <c r="B540" s="1">
        <f t="shared" si="121"/>
        <v>12</v>
      </c>
      <c r="C540" s="1">
        <f t="shared" si="121"/>
        <v>6</v>
      </c>
      <c r="D540" s="1">
        <f t="shared" si="121"/>
        <v>3</v>
      </c>
      <c r="E540" s="1">
        <f t="shared" si="121"/>
        <v>5</v>
      </c>
      <c r="F540" s="2">
        <f t="shared" si="119"/>
        <v>10</v>
      </c>
      <c r="H540" s="9" t="s">
        <v>92</v>
      </c>
      <c r="I540" s="9" t="s">
        <v>40</v>
      </c>
      <c r="J540" s="9" t="s">
        <v>33</v>
      </c>
      <c r="K540" s="9">
        <v>11.33</v>
      </c>
      <c r="L540" s="2">
        <v>3</v>
      </c>
      <c r="M540" s="2">
        <v>5</v>
      </c>
      <c r="N540" s="2">
        <v>0</v>
      </c>
      <c r="P540" s="4">
        <f t="shared" si="120"/>
        <v>1</v>
      </c>
    </row>
    <row r="541" spans="1:16" x14ac:dyDescent="0.25">
      <c r="A541" s="1" t="str">
        <f t="shared" ref="A541:E556" si="122">A482</f>
        <v>P12</v>
      </c>
      <c r="B541" s="1">
        <f t="shared" si="122"/>
        <v>12</v>
      </c>
      <c r="C541" s="1">
        <f t="shared" si="122"/>
        <v>7</v>
      </c>
      <c r="D541" s="1">
        <f t="shared" si="122"/>
        <v>2</v>
      </c>
      <c r="E541" s="1">
        <f t="shared" si="122"/>
        <v>4</v>
      </c>
      <c r="F541" s="2">
        <f t="shared" si="119"/>
        <v>10</v>
      </c>
      <c r="H541" s="9" t="s">
        <v>92</v>
      </c>
      <c r="I541" s="9" t="s">
        <v>41</v>
      </c>
      <c r="J541" s="9" t="s">
        <v>33</v>
      </c>
      <c r="K541" s="9">
        <v>8.11</v>
      </c>
      <c r="L541" s="2">
        <v>2</v>
      </c>
      <c r="M541" s="2">
        <v>4</v>
      </c>
      <c r="N541" s="2">
        <v>0</v>
      </c>
      <c r="P541" s="4">
        <f t="shared" si="120"/>
        <v>1</v>
      </c>
    </row>
    <row r="542" spans="1:16" x14ac:dyDescent="0.25">
      <c r="A542" s="1" t="str">
        <f t="shared" si="122"/>
        <v>P12</v>
      </c>
      <c r="B542" s="1">
        <f t="shared" si="122"/>
        <v>12</v>
      </c>
      <c r="C542" s="1">
        <f t="shared" si="122"/>
        <v>8</v>
      </c>
      <c r="D542" s="1">
        <f t="shared" si="122"/>
        <v>2</v>
      </c>
      <c r="E542" s="1">
        <f t="shared" si="122"/>
        <v>4</v>
      </c>
      <c r="F542" s="2">
        <f t="shared" si="119"/>
        <v>10</v>
      </c>
      <c r="H542" s="9" t="s">
        <v>92</v>
      </c>
      <c r="I542" s="9" t="s">
        <v>42</v>
      </c>
      <c r="J542" s="9" t="s">
        <v>33</v>
      </c>
      <c r="K542" s="9">
        <v>8.2200000000000006</v>
      </c>
      <c r="L542" s="2">
        <v>2</v>
      </c>
      <c r="M542" s="2">
        <v>4</v>
      </c>
      <c r="N542" s="2">
        <v>0</v>
      </c>
      <c r="P542" s="4">
        <f t="shared" si="120"/>
        <v>1</v>
      </c>
    </row>
    <row r="543" spans="1:16" x14ac:dyDescent="0.25">
      <c r="A543" s="1" t="str">
        <f t="shared" si="122"/>
        <v>P12</v>
      </c>
      <c r="B543" s="1">
        <f t="shared" si="122"/>
        <v>12</v>
      </c>
      <c r="C543" s="1">
        <f t="shared" si="122"/>
        <v>9</v>
      </c>
      <c r="D543" s="1">
        <f t="shared" si="122"/>
        <v>2</v>
      </c>
      <c r="E543" s="1">
        <f t="shared" si="122"/>
        <v>3</v>
      </c>
      <c r="F543" s="2">
        <f t="shared" si="119"/>
        <v>10</v>
      </c>
      <c r="H543" s="9" t="s">
        <v>92</v>
      </c>
      <c r="I543" s="9" t="s">
        <v>43</v>
      </c>
      <c r="J543" s="9" t="s">
        <v>33</v>
      </c>
      <c r="K543" s="9">
        <v>7.31</v>
      </c>
      <c r="L543" s="2">
        <v>2</v>
      </c>
      <c r="M543" s="2">
        <v>3</v>
      </c>
      <c r="N543" s="2">
        <v>0</v>
      </c>
      <c r="P543" s="4">
        <f t="shared" si="120"/>
        <v>1</v>
      </c>
    </row>
    <row r="544" spans="1:16" x14ac:dyDescent="0.25">
      <c r="A544" s="1" t="str">
        <f t="shared" si="122"/>
        <v>P16</v>
      </c>
      <c r="B544" s="1">
        <f t="shared" si="122"/>
        <v>16</v>
      </c>
      <c r="C544" s="1">
        <f t="shared" si="122"/>
        <v>15</v>
      </c>
      <c r="D544" s="1">
        <f t="shared" si="122"/>
        <v>4</v>
      </c>
      <c r="E544" s="1">
        <f t="shared" si="122"/>
        <v>6</v>
      </c>
      <c r="F544" s="2">
        <f t="shared" si="119"/>
        <v>10</v>
      </c>
      <c r="H544" s="9" t="s">
        <v>92</v>
      </c>
      <c r="I544" s="9" t="s">
        <v>44</v>
      </c>
      <c r="J544" s="9" t="s">
        <v>33</v>
      </c>
      <c r="K544" s="9">
        <v>14.68</v>
      </c>
      <c r="L544" s="2">
        <v>4</v>
      </c>
      <c r="M544" s="2">
        <v>6</v>
      </c>
      <c r="N544" s="2">
        <v>300</v>
      </c>
      <c r="P544" s="4">
        <f t="shared" si="120"/>
        <v>1</v>
      </c>
    </row>
    <row r="545" spans="1:16" x14ac:dyDescent="0.25">
      <c r="A545" s="1" t="str">
        <f t="shared" si="122"/>
        <v>P16</v>
      </c>
      <c r="B545" s="1">
        <f t="shared" si="122"/>
        <v>16</v>
      </c>
      <c r="C545" s="1">
        <f t="shared" si="122"/>
        <v>16</v>
      </c>
      <c r="D545" s="1">
        <f t="shared" si="122"/>
        <v>3</v>
      </c>
      <c r="E545" s="1">
        <f t="shared" si="122"/>
        <v>6</v>
      </c>
      <c r="F545" s="2">
        <f t="shared" si="119"/>
        <v>10</v>
      </c>
      <c r="H545" s="9" t="s">
        <v>92</v>
      </c>
      <c r="I545" s="9" t="s">
        <v>45</v>
      </c>
      <c r="J545" s="9" t="s">
        <v>33</v>
      </c>
      <c r="K545" s="9">
        <v>12.29</v>
      </c>
      <c r="L545" s="2">
        <v>3</v>
      </c>
      <c r="M545" s="2">
        <v>6</v>
      </c>
      <c r="N545" s="2">
        <v>0.01</v>
      </c>
      <c r="P545" s="4">
        <f t="shared" si="120"/>
        <v>1</v>
      </c>
    </row>
    <row r="546" spans="1:16" x14ac:dyDescent="0.25">
      <c r="A546" s="1" t="str">
        <f t="shared" si="122"/>
        <v>P16</v>
      </c>
      <c r="B546" s="1">
        <f t="shared" si="122"/>
        <v>16</v>
      </c>
      <c r="C546" s="1">
        <f t="shared" si="122"/>
        <v>18</v>
      </c>
      <c r="D546" s="1">
        <f t="shared" si="122"/>
        <v>3</v>
      </c>
      <c r="E546" s="1">
        <f t="shared" si="122"/>
        <v>6</v>
      </c>
      <c r="F546" s="2">
        <f t="shared" si="119"/>
        <v>10</v>
      </c>
      <c r="H546" s="9" t="s">
        <v>92</v>
      </c>
      <c r="I546" s="9" t="s">
        <v>46</v>
      </c>
      <c r="J546" s="9" t="s">
        <v>33</v>
      </c>
      <c r="K546" s="9">
        <v>12.41</v>
      </c>
      <c r="L546" s="2">
        <v>3</v>
      </c>
      <c r="M546" s="2">
        <v>6</v>
      </c>
      <c r="N546" s="2">
        <v>300</v>
      </c>
      <c r="P546" s="4">
        <f t="shared" si="120"/>
        <v>1</v>
      </c>
    </row>
    <row r="547" spans="1:16" x14ac:dyDescent="0.25">
      <c r="A547" s="1" t="str">
        <f t="shared" si="122"/>
        <v>P16</v>
      </c>
      <c r="B547" s="1">
        <f t="shared" si="122"/>
        <v>16</v>
      </c>
      <c r="C547" s="1">
        <f t="shared" si="122"/>
        <v>19</v>
      </c>
      <c r="D547" s="1">
        <f t="shared" si="122"/>
        <v>3</v>
      </c>
      <c r="E547" s="1">
        <f t="shared" si="122"/>
        <v>5</v>
      </c>
      <c r="F547" s="2">
        <f t="shared" si="119"/>
        <v>10</v>
      </c>
      <c r="H547" s="9" t="s">
        <v>92</v>
      </c>
      <c r="I547" s="9" t="s">
        <v>47</v>
      </c>
      <c r="J547" s="9" t="s">
        <v>33</v>
      </c>
      <c r="K547" s="9">
        <v>12.49</v>
      </c>
      <c r="L547" s="2">
        <v>3</v>
      </c>
      <c r="M547" s="2">
        <v>6</v>
      </c>
      <c r="N547" s="2">
        <v>300</v>
      </c>
      <c r="P547" s="4">
        <f t="shared" si="120"/>
        <v>0</v>
      </c>
    </row>
    <row r="548" spans="1:16" x14ac:dyDescent="0.25">
      <c r="A548" s="1" t="str">
        <f t="shared" si="122"/>
        <v>P16</v>
      </c>
      <c r="B548" s="1">
        <f t="shared" si="122"/>
        <v>16</v>
      </c>
      <c r="C548" s="1">
        <f t="shared" si="122"/>
        <v>20</v>
      </c>
      <c r="D548" s="1">
        <f t="shared" si="122"/>
        <v>3</v>
      </c>
      <c r="E548" s="1">
        <f t="shared" si="122"/>
        <v>5</v>
      </c>
      <c r="F548" s="2">
        <f>F489+1</f>
        <v>10</v>
      </c>
      <c r="H548" s="9" t="s">
        <v>92</v>
      </c>
      <c r="I548" s="9" t="s">
        <v>48</v>
      </c>
      <c r="J548" s="9" t="s">
        <v>33</v>
      </c>
      <c r="K548" s="9">
        <v>12.57</v>
      </c>
      <c r="L548" s="2">
        <v>3</v>
      </c>
      <c r="M548" s="2">
        <v>6</v>
      </c>
      <c r="N548" s="2">
        <v>300</v>
      </c>
      <c r="P548" s="4">
        <f t="shared" si="120"/>
        <v>0</v>
      </c>
    </row>
    <row r="549" spans="1:16" x14ac:dyDescent="0.25">
      <c r="A549" s="1" t="str">
        <f t="shared" si="122"/>
        <v>P16</v>
      </c>
      <c r="B549" s="1">
        <f t="shared" si="122"/>
        <v>16</v>
      </c>
      <c r="C549" s="1">
        <f t="shared" si="122"/>
        <v>21</v>
      </c>
      <c r="D549" s="1">
        <f t="shared" si="122"/>
        <v>3</v>
      </c>
      <c r="E549" s="1">
        <f t="shared" si="122"/>
        <v>5</v>
      </c>
      <c r="F549" s="2">
        <f t="shared" ref="F549:F591" si="123">F490+1</f>
        <v>10</v>
      </c>
      <c r="H549" s="9" t="s">
        <v>92</v>
      </c>
      <c r="I549" s="9" t="s">
        <v>49</v>
      </c>
      <c r="J549" s="9" t="s">
        <v>33</v>
      </c>
      <c r="K549" s="9">
        <v>11.57</v>
      </c>
      <c r="L549" s="2">
        <v>3</v>
      </c>
      <c r="M549" s="2">
        <v>5</v>
      </c>
      <c r="N549" s="2">
        <v>300</v>
      </c>
      <c r="P549" s="4">
        <f t="shared" si="120"/>
        <v>1</v>
      </c>
    </row>
    <row r="550" spans="1:16" x14ac:dyDescent="0.25">
      <c r="A550" s="1" t="str">
        <f t="shared" si="122"/>
        <v>P16</v>
      </c>
      <c r="B550" s="1">
        <f t="shared" si="122"/>
        <v>16</v>
      </c>
      <c r="C550" s="1">
        <f t="shared" si="122"/>
        <v>22</v>
      </c>
      <c r="D550" s="1">
        <f t="shared" si="122"/>
        <v>2</v>
      </c>
      <c r="E550" s="1">
        <f t="shared" si="122"/>
        <v>4</v>
      </c>
      <c r="F550" s="2">
        <f t="shared" si="123"/>
        <v>10</v>
      </c>
      <c r="H550" s="9" t="s">
        <v>92</v>
      </c>
      <c r="I550" s="9" t="s">
        <v>50</v>
      </c>
      <c r="J550" s="9" t="s">
        <v>33</v>
      </c>
      <c r="K550" s="9">
        <v>8.1</v>
      </c>
      <c r="L550" s="2">
        <v>2</v>
      </c>
      <c r="M550" s="2">
        <v>4</v>
      </c>
      <c r="N550" s="2">
        <v>0</v>
      </c>
      <c r="P550" s="4">
        <f t="shared" si="120"/>
        <v>1</v>
      </c>
    </row>
    <row r="551" spans="1:16" x14ac:dyDescent="0.25">
      <c r="A551" s="1" t="str">
        <f t="shared" si="122"/>
        <v>P24</v>
      </c>
      <c r="B551" s="1">
        <f t="shared" si="122"/>
        <v>24</v>
      </c>
      <c r="C551" s="1">
        <f t="shared" si="122"/>
        <v>18</v>
      </c>
      <c r="D551" s="1">
        <f t="shared" si="122"/>
        <v>4</v>
      </c>
      <c r="E551" s="1">
        <f t="shared" si="122"/>
        <v>8</v>
      </c>
      <c r="F551" s="2">
        <f t="shared" si="123"/>
        <v>10</v>
      </c>
      <c r="H551" s="9" t="s">
        <v>92</v>
      </c>
      <c r="I551" s="9" t="s">
        <v>51</v>
      </c>
      <c r="J551" s="9" t="s">
        <v>33</v>
      </c>
      <c r="K551" s="9">
        <v>16.07</v>
      </c>
      <c r="L551" s="2">
        <v>4</v>
      </c>
      <c r="M551" s="2">
        <v>8</v>
      </c>
      <c r="N551" s="2">
        <v>0</v>
      </c>
      <c r="P551" s="4">
        <f t="shared" si="120"/>
        <v>1</v>
      </c>
    </row>
    <row r="552" spans="1:16" x14ac:dyDescent="0.25">
      <c r="A552" s="1" t="str">
        <f t="shared" si="122"/>
        <v>P24</v>
      </c>
      <c r="B552" s="1">
        <f t="shared" si="122"/>
        <v>24</v>
      </c>
      <c r="C552" s="1">
        <f t="shared" si="122"/>
        <v>20</v>
      </c>
      <c r="D552" s="1">
        <f t="shared" si="122"/>
        <v>4</v>
      </c>
      <c r="E552" s="1">
        <f t="shared" si="122"/>
        <v>7</v>
      </c>
      <c r="F552" s="2">
        <f t="shared" si="123"/>
        <v>10</v>
      </c>
      <c r="H552" s="9" t="s">
        <v>92</v>
      </c>
      <c r="I552" s="9" t="s">
        <v>52</v>
      </c>
      <c r="J552" s="9" t="s">
        <v>33</v>
      </c>
      <c r="K552" s="9">
        <v>16.16</v>
      </c>
      <c r="L552" s="2">
        <v>4</v>
      </c>
      <c r="M552" s="2">
        <v>8</v>
      </c>
      <c r="N552" s="2">
        <v>300</v>
      </c>
      <c r="P552" s="4">
        <f t="shared" si="120"/>
        <v>0</v>
      </c>
    </row>
    <row r="553" spans="1:16" x14ac:dyDescent="0.25">
      <c r="A553" s="1" t="str">
        <f t="shared" si="122"/>
        <v>P24</v>
      </c>
      <c r="B553" s="1">
        <f t="shared" si="122"/>
        <v>24</v>
      </c>
      <c r="C553" s="1">
        <f t="shared" si="122"/>
        <v>24</v>
      </c>
      <c r="D553" s="1">
        <f t="shared" si="122"/>
        <v>3</v>
      </c>
      <c r="E553" s="1">
        <f t="shared" si="122"/>
        <v>6</v>
      </c>
      <c r="F553" s="2">
        <f t="shared" si="123"/>
        <v>10</v>
      </c>
      <c r="H553" s="9" t="s">
        <v>92</v>
      </c>
      <c r="I553" s="9" t="s">
        <v>53</v>
      </c>
      <c r="J553" s="9" t="s">
        <v>33</v>
      </c>
      <c r="K553" s="9">
        <v>15.34</v>
      </c>
      <c r="L553" s="2">
        <v>4</v>
      </c>
      <c r="M553" s="2">
        <v>7</v>
      </c>
      <c r="N553" s="2">
        <v>300</v>
      </c>
      <c r="P553" s="4">
        <f t="shared" si="120"/>
        <v>0</v>
      </c>
    </row>
    <row r="554" spans="1:16" x14ac:dyDescent="0.25">
      <c r="A554" s="1" t="str">
        <f t="shared" si="122"/>
        <v>P24</v>
      </c>
      <c r="B554" s="1">
        <f t="shared" si="122"/>
        <v>24</v>
      </c>
      <c r="C554" s="1">
        <f t="shared" si="122"/>
        <v>25</v>
      </c>
      <c r="D554" s="1">
        <f t="shared" si="122"/>
        <v>3</v>
      </c>
      <c r="E554" s="1">
        <f t="shared" si="122"/>
        <v>6</v>
      </c>
      <c r="F554" s="2">
        <f t="shared" si="123"/>
        <v>10</v>
      </c>
      <c r="H554" s="9" t="s">
        <v>92</v>
      </c>
      <c r="I554" s="9" t="s">
        <v>54</v>
      </c>
      <c r="J554" s="9" t="s">
        <v>33</v>
      </c>
      <c r="K554" s="9">
        <v>12.09</v>
      </c>
      <c r="L554" s="2">
        <v>3</v>
      </c>
      <c r="M554" s="2">
        <v>6</v>
      </c>
      <c r="N554" s="2">
        <v>0</v>
      </c>
      <c r="P554" s="4">
        <f t="shared" si="120"/>
        <v>1</v>
      </c>
    </row>
    <row r="555" spans="1:16" x14ac:dyDescent="0.25">
      <c r="A555" s="1" t="str">
        <f t="shared" si="122"/>
        <v>P24</v>
      </c>
      <c r="B555" s="1">
        <f t="shared" si="122"/>
        <v>24</v>
      </c>
      <c r="C555" s="1">
        <f t="shared" si="122"/>
        <v>30</v>
      </c>
      <c r="D555" s="1">
        <f t="shared" si="122"/>
        <v>3</v>
      </c>
      <c r="E555" s="1">
        <f t="shared" si="122"/>
        <v>5</v>
      </c>
      <c r="F555" s="2">
        <f t="shared" si="123"/>
        <v>10</v>
      </c>
      <c r="H555" s="9" t="s">
        <v>92</v>
      </c>
      <c r="I555" s="9" t="s">
        <v>55</v>
      </c>
      <c r="J555" s="9" t="s">
        <v>33</v>
      </c>
      <c r="K555" s="9">
        <v>11.26</v>
      </c>
      <c r="L555" s="2">
        <v>3</v>
      </c>
      <c r="M555" s="2">
        <v>5</v>
      </c>
      <c r="N555" s="2">
        <v>0.01</v>
      </c>
      <c r="P555" s="4">
        <f t="shared" si="120"/>
        <v>1</v>
      </c>
    </row>
    <row r="556" spans="1:16" x14ac:dyDescent="0.25">
      <c r="A556" s="1" t="str">
        <f t="shared" si="122"/>
        <v>P24</v>
      </c>
      <c r="B556" s="1">
        <f t="shared" si="122"/>
        <v>24</v>
      </c>
      <c r="C556" s="1">
        <f t="shared" si="122"/>
        <v>35</v>
      </c>
      <c r="D556" s="1">
        <f t="shared" si="122"/>
        <v>2</v>
      </c>
      <c r="E556" s="1">
        <f t="shared" si="122"/>
        <v>4</v>
      </c>
      <c r="F556" s="2">
        <f t="shared" si="123"/>
        <v>10</v>
      </c>
      <c r="H556" s="9" t="s">
        <v>92</v>
      </c>
      <c r="I556" s="9" t="s">
        <v>56</v>
      </c>
      <c r="J556" s="9" t="s">
        <v>33</v>
      </c>
      <c r="K556" s="9">
        <v>8</v>
      </c>
      <c r="L556" s="2">
        <v>2</v>
      </c>
      <c r="M556" s="2">
        <v>4</v>
      </c>
      <c r="N556" s="2">
        <v>0.01</v>
      </c>
      <c r="P556" s="4">
        <f t="shared" si="120"/>
        <v>1</v>
      </c>
    </row>
    <row r="557" spans="1:16" x14ac:dyDescent="0.25">
      <c r="A557" s="1" t="str">
        <f t="shared" ref="A557:E572" si="124">A498</f>
        <v>P24</v>
      </c>
      <c r="B557" s="1">
        <f t="shared" si="124"/>
        <v>24</v>
      </c>
      <c r="C557" s="1">
        <f t="shared" si="124"/>
        <v>40</v>
      </c>
      <c r="D557" s="1">
        <f t="shared" si="124"/>
        <v>2</v>
      </c>
      <c r="E557" s="1">
        <f t="shared" si="124"/>
        <v>4</v>
      </c>
      <c r="F557" s="2">
        <f t="shared" si="123"/>
        <v>10</v>
      </c>
      <c r="H557" s="9" t="s">
        <v>92</v>
      </c>
      <c r="I557" s="9" t="s">
        <v>57</v>
      </c>
      <c r="J557" s="9" t="s">
        <v>33</v>
      </c>
      <c r="K557" s="9">
        <v>8.1300000000000008</v>
      </c>
      <c r="L557" s="2">
        <v>2</v>
      </c>
      <c r="M557" s="2">
        <v>4</v>
      </c>
      <c r="N557" s="2">
        <v>0.01</v>
      </c>
      <c r="P557" s="4">
        <f t="shared" si="120"/>
        <v>1</v>
      </c>
    </row>
    <row r="558" spans="1:16" x14ac:dyDescent="0.25">
      <c r="A558" s="1" t="str">
        <f t="shared" si="124"/>
        <v>P65</v>
      </c>
      <c r="B558" s="1">
        <f t="shared" si="124"/>
        <v>65</v>
      </c>
      <c r="C558" s="1">
        <f t="shared" si="124"/>
        <v>326</v>
      </c>
      <c r="D558" s="1">
        <f t="shared" si="124"/>
        <v>8</v>
      </c>
      <c r="E558" s="1">
        <f t="shared" si="124"/>
        <v>16</v>
      </c>
      <c r="F558" s="2">
        <f t="shared" si="123"/>
        <v>10</v>
      </c>
      <c r="H558" s="9" t="s">
        <v>92</v>
      </c>
      <c r="I558" s="9" t="s">
        <v>58</v>
      </c>
      <c r="J558" s="9" t="s">
        <v>33</v>
      </c>
      <c r="K558" s="9">
        <v>35.24</v>
      </c>
      <c r="L558" s="2">
        <v>9</v>
      </c>
      <c r="M558" s="2">
        <v>17</v>
      </c>
      <c r="N558" s="2">
        <v>300.01</v>
      </c>
      <c r="P558" s="4">
        <f t="shared" si="120"/>
        <v>0</v>
      </c>
    </row>
    <row r="559" spans="1:16" x14ac:dyDescent="0.25">
      <c r="A559" s="1" t="str">
        <f t="shared" si="124"/>
        <v>P65</v>
      </c>
      <c r="B559" s="1">
        <f t="shared" si="124"/>
        <v>65</v>
      </c>
      <c r="C559" s="1">
        <f t="shared" si="124"/>
        <v>381</v>
      </c>
      <c r="D559" s="1">
        <f t="shared" si="124"/>
        <v>7</v>
      </c>
      <c r="E559" s="1">
        <f t="shared" si="124"/>
        <v>14</v>
      </c>
      <c r="F559" s="2">
        <f t="shared" si="123"/>
        <v>10</v>
      </c>
      <c r="H559" s="9" t="s">
        <v>92</v>
      </c>
      <c r="I559" s="9" t="s">
        <v>59</v>
      </c>
      <c r="J559" s="9" t="s">
        <v>33</v>
      </c>
      <c r="K559" s="9">
        <v>28.15</v>
      </c>
      <c r="L559" s="2">
        <v>7</v>
      </c>
      <c r="M559" s="2">
        <v>14</v>
      </c>
      <c r="N559" s="2">
        <v>0.04</v>
      </c>
      <c r="P559" s="4">
        <f t="shared" si="120"/>
        <v>1</v>
      </c>
    </row>
    <row r="560" spans="1:16" x14ac:dyDescent="0.25">
      <c r="A560" s="1" t="str">
        <f t="shared" si="124"/>
        <v>P65</v>
      </c>
      <c r="B560" s="1">
        <f t="shared" si="124"/>
        <v>65</v>
      </c>
      <c r="C560" s="1">
        <f t="shared" si="124"/>
        <v>435</v>
      </c>
      <c r="D560" s="1">
        <f t="shared" si="124"/>
        <v>6</v>
      </c>
      <c r="E560" s="1">
        <f t="shared" si="124"/>
        <v>12</v>
      </c>
      <c r="F560" s="2">
        <f t="shared" si="123"/>
        <v>10</v>
      </c>
      <c r="H560" s="9" t="s">
        <v>92</v>
      </c>
      <c r="I560" s="9" t="s">
        <v>60</v>
      </c>
      <c r="J560" s="9" t="s">
        <v>33</v>
      </c>
      <c r="K560" s="9">
        <v>24.08</v>
      </c>
      <c r="L560" s="2">
        <v>6</v>
      </c>
      <c r="M560" s="2">
        <v>12</v>
      </c>
      <c r="N560" s="2">
        <v>0.28000000000000003</v>
      </c>
      <c r="P560" s="4">
        <f t="shared" si="120"/>
        <v>1</v>
      </c>
    </row>
    <row r="561" spans="1:16" x14ac:dyDescent="0.25">
      <c r="A561" s="1" t="str">
        <f t="shared" si="124"/>
        <v>P65</v>
      </c>
      <c r="B561" s="1">
        <f t="shared" si="124"/>
        <v>65</v>
      </c>
      <c r="C561" s="1">
        <f t="shared" si="124"/>
        <v>490</v>
      </c>
      <c r="D561" s="1">
        <f t="shared" si="124"/>
        <v>6</v>
      </c>
      <c r="E561" s="1">
        <f t="shared" si="124"/>
        <v>11</v>
      </c>
      <c r="F561" s="2">
        <f t="shared" si="123"/>
        <v>10</v>
      </c>
      <c r="H561" s="9" t="s">
        <v>92</v>
      </c>
      <c r="I561" s="9" t="s">
        <v>61</v>
      </c>
      <c r="J561" s="9" t="s">
        <v>33</v>
      </c>
      <c r="K561" s="9">
        <v>23.21</v>
      </c>
      <c r="L561" s="2">
        <v>6</v>
      </c>
      <c r="M561" s="2">
        <v>11</v>
      </c>
      <c r="N561" s="2">
        <v>0.01</v>
      </c>
      <c r="P561" s="4">
        <f t="shared" si="120"/>
        <v>1</v>
      </c>
    </row>
    <row r="562" spans="1:16" x14ac:dyDescent="0.25">
      <c r="A562" s="1" t="str">
        <f t="shared" si="124"/>
        <v>P65</v>
      </c>
      <c r="B562" s="1">
        <f t="shared" si="124"/>
        <v>65</v>
      </c>
      <c r="C562" s="1">
        <f t="shared" si="124"/>
        <v>512</v>
      </c>
      <c r="D562" s="1">
        <f t="shared" si="124"/>
        <v>5</v>
      </c>
      <c r="E562" s="1">
        <f t="shared" si="124"/>
        <v>10</v>
      </c>
      <c r="F562" s="2">
        <f t="shared" si="123"/>
        <v>10</v>
      </c>
      <c r="H562" s="9" t="s">
        <v>92</v>
      </c>
      <c r="I562" s="9" t="s">
        <v>62</v>
      </c>
      <c r="J562" s="9" t="s">
        <v>33</v>
      </c>
      <c r="K562" s="9">
        <v>23.19</v>
      </c>
      <c r="L562" s="2">
        <v>6</v>
      </c>
      <c r="M562" s="2">
        <v>11</v>
      </c>
      <c r="N562" s="2">
        <v>300.01</v>
      </c>
      <c r="P562" s="4">
        <f t="shared" si="120"/>
        <v>0</v>
      </c>
    </row>
    <row r="563" spans="1:16" x14ac:dyDescent="0.25">
      <c r="A563" s="1" t="str">
        <f t="shared" si="124"/>
        <v>P65</v>
      </c>
      <c r="B563" s="1">
        <f t="shared" si="124"/>
        <v>65</v>
      </c>
      <c r="C563" s="1">
        <f t="shared" si="124"/>
        <v>544</v>
      </c>
      <c r="D563" s="1">
        <f t="shared" si="124"/>
        <v>5</v>
      </c>
      <c r="E563" s="1">
        <f t="shared" si="124"/>
        <v>10</v>
      </c>
      <c r="F563" s="2">
        <f t="shared" si="123"/>
        <v>10</v>
      </c>
      <c r="H563" s="9" t="s">
        <v>92</v>
      </c>
      <c r="I563" s="9" t="s">
        <v>63</v>
      </c>
      <c r="J563" s="9" t="s">
        <v>33</v>
      </c>
      <c r="K563" s="9">
        <v>20.12</v>
      </c>
      <c r="L563" s="2">
        <v>5</v>
      </c>
      <c r="M563" s="2">
        <v>10</v>
      </c>
      <c r="N563" s="2">
        <v>0.03</v>
      </c>
      <c r="P563" s="4">
        <f t="shared" si="120"/>
        <v>1</v>
      </c>
    </row>
    <row r="564" spans="1:16" x14ac:dyDescent="0.25">
      <c r="A564" s="1" t="str">
        <f t="shared" si="124"/>
        <v>P148</v>
      </c>
      <c r="B564" s="1">
        <f t="shared" si="124"/>
        <v>148</v>
      </c>
      <c r="C564" s="1">
        <f t="shared" si="124"/>
        <v>204</v>
      </c>
      <c r="D564" s="1">
        <f t="shared" si="124"/>
        <v>13</v>
      </c>
      <c r="E564" s="1">
        <f t="shared" si="124"/>
        <v>26</v>
      </c>
      <c r="F564" s="2">
        <f t="shared" si="123"/>
        <v>10</v>
      </c>
      <c r="H564" s="9" t="s">
        <v>92</v>
      </c>
      <c r="I564" s="9" t="s">
        <v>64</v>
      </c>
      <c r="J564" s="9" t="s">
        <v>33</v>
      </c>
      <c r="K564" s="9">
        <v>52.16</v>
      </c>
      <c r="L564" s="2">
        <v>13</v>
      </c>
      <c r="M564" s="2">
        <v>26</v>
      </c>
      <c r="N564" s="2">
        <v>0.56999999999999995</v>
      </c>
      <c r="P564" s="4">
        <f t="shared" si="120"/>
        <v>1</v>
      </c>
    </row>
    <row r="565" spans="1:16" x14ac:dyDescent="0.25">
      <c r="A565" s="1" t="str">
        <f t="shared" si="124"/>
        <v>P148</v>
      </c>
      <c r="B565" s="1">
        <f t="shared" si="124"/>
        <v>148</v>
      </c>
      <c r="C565" s="1">
        <f t="shared" si="124"/>
        <v>228</v>
      </c>
      <c r="D565" s="1">
        <f t="shared" si="124"/>
        <v>12</v>
      </c>
      <c r="E565" s="1">
        <f t="shared" si="124"/>
        <v>23</v>
      </c>
      <c r="F565" s="2">
        <f t="shared" si="123"/>
        <v>10</v>
      </c>
      <c r="H565" s="9" t="s">
        <v>92</v>
      </c>
      <c r="I565" s="9" t="s">
        <v>65</v>
      </c>
      <c r="J565" s="9" t="s">
        <v>33</v>
      </c>
      <c r="K565" s="9">
        <v>47.18</v>
      </c>
      <c r="L565" s="2">
        <v>12</v>
      </c>
      <c r="M565" s="2">
        <v>23</v>
      </c>
      <c r="N565" s="2">
        <v>0.14000000000000001</v>
      </c>
      <c r="P565" s="4">
        <f t="shared" si="120"/>
        <v>1</v>
      </c>
    </row>
    <row r="566" spans="1:16" x14ac:dyDescent="0.25">
      <c r="A566" s="1" t="str">
        <f t="shared" si="124"/>
        <v>P148</v>
      </c>
      <c r="B566" s="1">
        <f t="shared" si="124"/>
        <v>148</v>
      </c>
      <c r="C566" s="1">
        <f t="shared" si="124"/>
        <v>255</v>
      </c>
      <c r="D566" s="1">
        <f t="shared" si="124"/>
        <v>11</v>
      </c>
      <c r="E566" s="1">
        <f t="shared" si="124"/>
        <v>21</v>
      </c>
      <c r="F566" s="2">
        <f t="shared" si="123"/>
        <v>10</v>
      </c>
      <c r="H566" s="9" t="s">
        <v>92</v>
      </c>
      <c r="I566" s="9" t="s">
        <v>66</v>
      </c>
      <c r="J566" s="9" t="s">
        <v>33</v>
      </c>
      <c r="K566" s="9">
        <v>43.23</v>
      </c>
      <c r="L566" s="2">
        <v>11</v>
      </c>
      <c r="M566" s="2">
        <v>21</v>
      </c>
      <c r="N566" s="2">
        <v>0.03</v>
      </c>
      <c r="P566" s="4">
        <f t="shared" si="120"/>
        <v>1</v>
      </c>
    </row>
    <row r="567" spans="1:16" x14ac:dyDescent="0.25">
      <c r="A567" s="1" t="str">
        <f t="shared" si="124"/>
        <v>P148</v>
      </c>
      <c r="B567" s="1">
        <f t="shared" si="124"/>
        <v>148</v>
      </c>
      <c r="C567" s="1">
        <f t="shared" si="124"/>
        <v>306</v>
      </c>
      <c r="D567" s="1">
        <f t="shared" si="124"/>
        <v>9</v>
      </c>
      <c r="E567" s="1">
        <f t="shared" si="124"/>
        <v>17</v>
      </c>
      <c r="F567" s="2">
        <f t="shared" si="123"/>
        <v>10</v>
      </c>
      <c r="H567" s="9" t="s">
        <v>92</v>
      </c>
      <c r="I567" s="9" t="s">
        <v>67</v>
      </c>
      <c r="J567" s="9" t="s">
        <v>33</v>
      </c>
      <c r="K567" s="9">
        <v>35.119999999999997</v>
      </c>
      <c r="L567" s="2">
        <v>9</v>
      </c>
      <c r="M567" s="2">
        <v>17</v>
      </c>
      <c r="N567" s="2">
        <v>6.8</v>
      </c>
      <c r="P567" s="4">
        <f t="shared" si="120"/>
        <v>1</v>
      </c>
    </row>
    <row r="568" spans="1:16" x14ac:dyDescent="0.25">
      <c r="A568" s="1" t="str">
        <f t="shared" si="124"/>
        <v>P148</v>
      </c>
      <c r="B568" s="1">
        <f t="shared" si="124"/>
        <v>148</v>
      </c>
      <c r="C568" s="1">
        <f t="shared" si="124"/>
        <v>357</v>
      </c>
      <c r="D568" s="1">
        <f t="shared" si="124"/>
        <v>8</v>
      </c>
      <c r="E568" s="1">
        <f t="shared" si="124"/>
        <v>15</v>
      </c>
      <c r="F568" s="2">
        <f t="shared" si="123"/>
        <v>10</v>
      </c>
      <c r="H568" s="9" t="s">
        <v>92</v>
      </c>
      <c r="I568" s="9" t="s">
        <v>68</v>
      </c>
      <c r="J568" s="9" t="s">
        <v>33</v>
      </c>
      <c r="K568" s="9">
        <v>31.22</v>
      </c>
      <c r="L568" s="2">
        <v>8</v>
      </c>
      <c r="M568" s="2">
        <v>15</v>
      </c>
      <c r="N568" s="2">
        <v>7.0000000000000007E-2</v>
      </c>
      <c r="P568" s="4">
        <f t="shared" si="120"/>
        <v>1</v>
      </c>
    </row>
    <row r="569" spans="1:16" x14ac:dyDescent="0.25">
      <c r="A569" s="1" t="str">
        <f t="shared" si="124"/>
        <v>P148</v>
      </c>
      <c r="B569" s="1">
        <f t="shared" si="124"/>
        <v>148</v>
      </c>
      <c r="C569" s="1">
        <f t="shared" si="124"/>
        <v>378</v>
      </c>
      <c r="D569" s="1">
        <f t="shared" si="124"/>
        <v>7</v>
      </c>
      <c r="E569" s="1">
        <f t="shared" si="124"/>
        <v>14</v>
      </c>
      <c r="F569" s="2">
        <f t="shared" si="123"/>
        <v>10</v>
      </c>
      <c r="H569" s="9" t="s">
        <v>92</v>
      </c>
      <c r="I569" s="9" t="s">
        <v>69</v>
      </c>
      <c r="J569" s="9" t="s">
        <v>33</v>
      </c>
      <c r="K569" s="9">
        <v>28.09</v>
      </c>
      <c r="L569" s="2">
        <v>7</v>
      </c>
      <c r="M569" s="2">
        <v>14</v>
      </c>
      <c r="N569" s="2">
        <v>0.23</v>
      </c>
      <c r="P569" s="4">
        <f t="shared" si="120"/>
        <v>1</v>
      </c>
    </row>
    <row r="570" spans="1:16" x14ac:dyDescent="0.25">
      <c r="A570" s="1" t="str">
        <f t="shared" si="124"/>
        <v>P148</v>
      </c>
      <c r="B570" s="1">
        <f t="shared" si="124"/>
        <v>148</v>
      </c>
      <c r="C570" s="1">
        <f t="shared" si="124"/>
        <v>408</v>
      </c>
      <c r="D570" s="1">
        <f t="shared" si="124"/>
        <v>7</v>
      </c>
      <c r="E570" s="1">
        <f t="shared" si="124"/>
        <v>13</v>
      </c>
      <c r="F570" s="2">
        <f t="shared" si="123"/>
        <v>10</v>
      </c>
      <c r="H570" s="9" t="s">
        <v>92</v>
      </c>
      <c r="I570" s="9" t="s">
        <v>70</v>
      </c>
      <c r="J570" s="9" t="s">
        <v>33</v>
      </c>
      <c r="K570" s="9">
        <v>27.17</v>
      </c>
      <c r="L570" s="2">
        <v>7</v>
      </c>
      <c r="M570" s="2">
        <v>13</v>
      </c>
      <c r="N570" s="2">
        <v>0.1</v>
      </c>
      <c r="P570" s="4">
        <f t="shared" si="120"/>
        <v>1</v>
      </c>
    </row>
    <row r="571" spans="1:16" x14ac:dyDescent="0.25">
      <c r="A571" s="1" t="str">
        <f t="shared" si="124"/>
        <v>P148</v>
      </c>
      <c r="B571" s="1">
        <f t="shared" si="124"/>
        <v>148</v>
      </c>
      <c r="C571" s="1">
        <f t="shared" si="124"/>
        <v>454</v>
      </c>
      <c r="D571" s="1">
        <f t="shared" si="124"/>
        <v>6</v>
      </c>
      <c r="E571" s="1">
        <f t="shared" si="124"/>
        <v>12</v>
      </c>
      <c r="F571" s="2">
        <f t="shared" si="123"/>
        <v>10</v>
      </c>
      <c r="H571" s="9" t="s">
        <v>92</v>
      </c>
      <c r="I571" s="9" t="s">
        <v>71</v>
      </c>
      <c r="J571" s="9" t="s">
        <v>33</v>
      </c>
      <c r="K571" s="9">
        <v>24.13</v>
      </c>
      <c r="L571" s="2">
        <v>6</v>
      </c>
      <c r="M571" s="2">
        <v>12</v>
      </c>
      <c r="N571" s="2">
        <v>0.03</v>
      </c>
      <c r="P571" s="4">
        <f t="shared" si="120"/>
        <v>1</v>
      </c>
    </row>
    <row r="572" spans="1:16" x14ac:dyDescent="0.25">
      <c r="A572" s="1" t="str">
        <f t="shared" si="124"/>
        <v>P148</v>
      </c>
      <c r="B572" s="1">
        <f t="shared" si="124"/>
        <v>148</v>
      </c>
      <c r="C572" s="1">
        <f t="shared" si="124"/>
        <v>459</v>
      </c>
      <c r="D572" s="1">
        <f t="shared" si="124"/>
        <v>6</v>
      </c>
      <c r="E572" s="1">
        <f t="shared" si="124"/>
        <v>12</v>
      </c>
      <c r="F572" s="2">
        <f t="shared" si="123"/>
        <v>10</v>
      </c>
      <c r="H572" s="9" t="s">
        <v>92</v>
      </c>
      <c r="I572" s="9" t="s">
        <v>72</v>
      </c>
      <c r="J572" s="9" t="s">
        <v>33</v>
      </c>
      <c r="K572" s="9">
        <v>24.16</v>
      </c>
      <c r="L572" s="2">
        <v>6</v>
      </c>
      <c r="M572" s="2">
        <v>12</v>
      </c>
      <c r="N572" s="2">
        <v>0.14000000000000001</v>
      </c>
      <c r="P572" s="4">
        <f t="shared" si="120"/>
        <v>1</v>
      </c>
    </row>
    <row r="573" spans="1:16" x14ac:dyDescent="0.25">
      <c r="A573" s="1" t="str">
        <f t="shared" ref="A573:E588" si="125">A514</f>
        <v>P148</v>
      </c>
      <c r="B573" s="1">
        <f t="shared" si="125"/>
        <v>148</v>
      </c>
      <c r="C573" s="1">
        <f t="shared" si="125"/>
        <v>510</v>
      </c>
      <c r="D573" s="1">
        <f t="shared" si="125"/>
        <v>6</v>
      </c>
      <c r="E573" s="1">
        <f t="shared" si="125"/>
        <v>11</v>
      </c>
      <c r="F573" s="2">
        <f t="shared" si="123"/>
        <v>10</v>
      </c>
      <c r="H573" s="9" t="s">
        <v>92</v>
      </c>
      <c r="I573" s="9" t="s">
        <v>73</v>
      </c>
      <c r="J573" s="9" t="s">
        <v>33</v>
      </c>
      <c r="K573" s="9">
        <v>23.24</v>
      </c>
      <c r="L573" s="2">
        <v>6</v>
      </c>
      <c r="M573" s="2">
        <v>11</v>
      </c>
      <c r="N573" s="2">
        <v>0.03</v>
      </c>
      <c r="P573" s="4">
        <f t="shared" si="120"/>
        <v>1</v>
      </c>
    </row>
    <row r="574" spans="1:16" x14ac:dyDescent="0.25">
      <c r="A574" s="1" t="str">
        <f t="shared" si="125"/>
        <v>P205</v>
      </c>
      <c r="B574" s="1">
        <f t="shared" si="125"/>
        <v>205</v>
      </c>
      <c r="C574" s="1">
        <f t="shared" si="125"/>
        <v>1133</v>
      </c>
      <c r="D574" s="1">
        <f t="shared" si="125"/>
        <v>11</v>
      </c>
      <c r="E574" s="1">
        <f t="shared" si="125"/>
        <v>21</v>
      </c>
      <c r="F574" s="2">
        <f t="shared" si="123"/>
        <v>10</v>
      </c>
      <c r="H574" s="9" t="s">
        <v>92</v>
      </c>
      <c r="I574" s="9" t="s">
        <v>74</v>
      </c>
      <c r="J574" s="9" t="s">
        <v>33</v>
      </c>
      <c r="K574" s="9">
        <v>44.3</v>
      </c>
      <c r="L574" s="2">
        <v>11</v>
      </c>
      <c r="M574" s="2">
        <v>22</v>
      </c>
      <c r="N574" s="2">
        <v>300.01</v>
      </c>
      <c r="P574" s="4">
        <f t="shared" si="120"/>
        <v>0</v>
      </c>
    </row>
    <row r="575" spans="1:16" x14ac:dyDescent="0.25">
      <c r="A575" s="1" t="str">
        <f t="shared" si="125"/>
        <v>P205</v>
      </c>
      <c r="B575" s="1">
        <f t="shared" si="125"/>
        <v>205</v>
      </c>
      <c r="C575" s="1">
        <f t="shared" si="125"/>
        <v>1275</v>
      </c>
      <c r="D575" s="1">
        <f t="shared" si="125"/>
        <v>10</v>
      </c>
      <c r="E575" s="1">
        <f t="shared" si="125"/>
        <v>19</v>
      </c>
      <c r="F575" s="2">
        <f t="shared" si="123"/>
        <v>10</v>
      </c>
      <c r="H575" s="9" t="s">
        <v>92</v>
      </c>
      <c r="I575" s="9" t="s">
        <v>75</v>
      </c>
      <c r="J575" s="9" t="s">
        <v>33</v>
      </c>
      <c r="K575" s="9">
        <v>40.29</v>
      </c>
      <c r="L575" s="2">
        <v>10</v>
      </c>
      <c r="M575" s="2">
        <v>20</v>
      </c>
      <c r="N575" s="2">
        <v>300.02999999999997</v>
      </c>
      <c r="P575" s="4">
        <f t="shared" si="120"/>
        <v>0</v>
      </c>
    </row>
    <row r="576" spans="1:16" x14ac:dyDescent="0.25">
      <c r="A576" s="1" t="str">
        <f t="shared" si="125"/>
        <v>P205</v>
      </c>
      <c r="B576" s="1">
        <f t="shared" si="125"/>
        <v>205</v>
      </c>
      <c r="C576" s="1">
        <f t="shared" si="125"/>
        <v>1322</v>
      </c>
      <c r="D576" s="1">
        <f t="shared" si="125"/>
        <v>9</v>
      </c>
      <c r="E576" s="1">
        <f t="shared" si="125"/>
        <v>18</v>
      </c>
      <c r="F576" s="2">
        <f t="shared" si="123"/>
        <v>10</v>
      </c>
      <c r="H576" s="9" t="s">
        <v>92</v>
      </c>
      <c r="I576" s="9" t="s">
        <v>76</v>
      </c>
      <c r="J576" s="9" t="s">
        <v>33</v>
      </c>
      <c r="K576" s="9">
        <v>40.36</v>
      </c>
      <c r="L576" s="2">
        <v>10</v>
      </c>
      <c r="M576" s="2">
        <v>20</v>
      </c>
      <c r="N576" s="2">
        <v>300.01</v>
      </c>
      <c r="P576" s="4">
        <f t="shared" si="120"/>
        <v>0</v>
      </c>
    </row>
    <row r="577" spans="1:16" x14ac:dyDescent="0.25">
      <c r="A577" s="1" t="str">
        <f t="shared" si="125"/>
        <v>P205</v>
      </c>
      <c r="B577" s="1">
        <f t="shared" si="125"/>
        <v>205</v>
      </c>
      <c r="C577" s="1">
        <f t="shared" si="125"/>
        <v>1455</v>
      </c>
      <c r="D577" s="1">
        <f t="shared" si="125"/>
        <v>9</v>
      </c>
      <c r="E577" s="1">
        <f t="shared" si="125"/>
        <v>17</v>
      </c>
      <c r="F577" s="2">
        <f t="shared" si="123"/>
        <v>10</v>
      </c>
      <c r="H577" s="9" t="s">
        <v>92</v>
      </c>
      <c r="I577" s="9" t="s">
        <v>77</v>
      </c>
      <c r="J577" s="9" t="s">
        <v>33</v>
      </c>
      <c r="K577" s="9">
        <v>36.32</v>
      </c>
      <c r="L577" s="2">
        <v>9</v>
      </c>
      <c r="M577" s="2">
        <v>18</v>
      </c>
      <c r="N577" s="2">
        <v>300.02999999999997</v>
      </c>
      <c r="P577" s="4">
        <f t="shared" si="120"/>
        <v>0</v>
      </c>
    </row>
    <row r="578" spans="1:16" x14ac:dyDescent="0.25">
      <c r="A578" s="1" t="str">
        <f t="shared" si="125"/>
        <v>P205</v>
      </c>
      <c r="B578" s="1">
        <f t="shared" si="125"/>
        <v>205</v>
      </c>
      <c r="C578" s="1">
        <f t="shared" si="125"/>
        <v>1510</v>
      </c>
      <c r="D578" s="1">
        <f t="shared" si="125"/>
        <v>8</v>
      </c>
      <c r="E578" s="1">
        <f t="shared" si="125"/>
        <v>16</v>
      </c>
      <c r="F578" s="2">
        <f t="shared" si="123"/>
        <v>10</v>
      </c>
      <c r="H578" s="9" t="s">
        <v>92</v>
      </c>
      <c r="I578" s="9" t="s">
        <v>78</v>
      </c>
      <c r="J578" s="9" t="s">
        <v>33</v>
      </c>
      <c r="K578" s="9">
        <v>36.33</v>
      </c>
      <c r="L578" s="2">
        <v>9</v>
      </c>
      <c r="M578" s="2">
        <v>18</v>
      </c>
      <c r="N578" s="2">
        <v>300.02</v>
      </c>
      <c r="P578" s="4">
        <f t="shared" si="120"/>
        <v>0</v>
      </c>
    </row>
    <row r="579" spans="1:16" x14ac:dyDescent="0.25">
      <c r="A579" s="1" t="str">
        <f t="shared" si="125"/>
        <v>P205</v>
      </c>
      <c r="B579" s="1">
        <f t="shared" si="125"/>
        <v>205</v>
      </c>
      <c r="C579" s="1">
        <f t="shared" si="125"/>
        <v>1650</v>
      </c>
      <c r="D579" s="1">
        <f t="shared" si="125"/>
        <v>8</v>
      </c>
      <c r="E579" s="1">
        <f t="shared" si="125"/>
        <v>15</v>
      </c>
      <c r="F579" s="2">
        <f t="shared" si="123"/>
        <v>10</v>
      </c>
      <c r="H579" s="9" t="s">
        <v>92</v>
      </c>
      <c r="I579" s="9" t="s">
        <v>79</v>
      </c>
      <c r="J579" s="9" t="s">
        <v>33</v>
      </c>
      <c r="K579" s="9">
        <v>32.31</v>
      </c>
      <c r="L579" s="2">
        <v>8</v>
      </c>
      <c r="M579" s="2">
        <v>16</v>
      </c>
      <c r="N579" s="2">
        <v>300.04000000000002</v>
      </c>
      <c r="P579" s="4">
        <f t="shared" ref="P579:P591" si="126">IF(D579*100+E579=L579*100+M579,1,0)</f>
        <v>0</v>
      </c>
    </row>
    <row r="580" spans="1:16" x14ac:dyDescent="0.25">
      <c r="A580" s="1" t="str">
        <f t="shared" si="125"/>
        <v>P205</v>
      </c>
      <c r="B580" s="1">
        <f t="shared" si="125"/>
        <v>205</v>
      </c>
      <c r="C580" s="1">
        <f t="shared" si="125"/>
        <v>1699</v>
      </c>
      <c r="D580" s="1">
        <f t="shared" si="125"/>
        <v>7</v>
      </c>
      <c r="E580" s="1">
        <f t="shared" si="125"/>
        <v>14</v>
      </c>
      <c r="F580" s="2">
        <f t="shared" si="123"/>
        <v>10</v>
      </c>
      <c r="H580" s="9" t="s">
        <v>92</v>
      </c>
      <c r="I580" s="9" t="s">
        <v>80</v>
      </c>
      <c r="J580" s="9" t="s">
        <v>33</v>
      </c>
      <c r="K580" s="9">
        <v>32.299999999999997</v>
      </c>
      <c r="L580" s="2">
        <v>8</v>
      </c>
      <c r="M580" s="2">
        <v>16</v>
      </c>
      <c r="N580" s="2">
        <v>300.05</v>
      </c>
      <c r="P580" s="4">
        <f t="shared" si="126"/>
        <v>0</v>
      </c>
    </row>
    <row r="581" spans="1:16" x14ac:dyDescent="0.25">
      <c r="A581" s="1" t="str">
        <f t="shared" si="125"/>
        <v>P205</v>
      </c>
      <c r="B581" s="1">
        <f t="shared" si="125"/>
        <v>205</v>
      </c>
      <c r="C581" s="1">
        <f t="shared" si="125"/>
        <v>1888</v>
      </c>
      <c r="D581" s="1">
        <f t="shared" si="125"/>
        <v>7</v>
      </c>
      <c r="E581" s="1">
        <f t="shared" si="125"/>
        <v>13</v>
      </c>
      <c r="F581" s="2">
        <f t="shared" si="123"/>
        <v>10</v>
      </c>
      <c r="H581" s="9" t="s">
        <v>92</v>
      </c>
      <c r="I581" s="9" t="s">
        <v>81</v>
      </c>
      <c r="J581" s="9" t="s">
        <v>33</v>
      </c>
      <c r="K581" s="9">
        <v>28.27</v>
      </c>
      <c r="L581" s="2">
        <v>7</v>
      </c>
      <c r="M581" s="2">
        <v>14</v>
      </c>
      <c r="N581" s="2">
        <v>300.04000000000002</v>
      </c>
      <c r="P581" s="4">
        <f t="shared" si="126"/>
        <v>0</v>
      </c>
    </row>
    <row r="582" spans="1:16" x14ac:dyDescent="0.25">
      <c r="A582" s="1" t="str">
        <f t="shared" si="125"/>
        <v>P205</v>
      </c>
      <c r="B582" s="1">
        <f t="shared" si="125"/>
        <v>205</v>
      </c>
      <c r="C582" s="1">
        <f t="shared" si="125"/>
        <v>1920</v>
      </c>
      <c r="D582" s="1">
        <f t="shared" si="125"/>
        <v>7</v>
      </c>
      <c r="E582" s="1">
        <f t="shared" si="125"/>
        <v>13</v>
      </c>
      <c r="F582" s="2">
        <f t="shared" si="123"/>
        <v>10</v>
      </c>
      <c r="H582" s="9" t="s">
        <v>92</v>
      </c>
      <c r="I582" s="9" t="s">
        <v>82</v>
      </c>
      <c r="J582" s="9" t="s">
        <v>33</v>
      </c>
      <c r="K582" s="9">
        <v>30.76</v>
      </c>
      <c r="L582" s="2">
        <v>8</v>
      </c>
      <c r="M582" s="2">
        <v>14</v>
      </c>
      <c r="N582" s="2">
        <v>300.01</v>
      </c>
      <c r="P582" s="4">
        <f t="shared" si="126"/>
        <v>0</v>
      </c>
    </row>
    <row r="583" spans="1:16" x14ac:dyDescent="0.25">
      <c r="A583" s="1" t="str">
        <f t="shared" si="125"/>
        <v>P205</v>
      </c>
      <c r="B583" s="1">
        <f t="shared" si="125"/>
        <v>205</v>
      </c>
      <c r="C583" s="1">
        <f t="shared" si="125"/>
        <v>2077</v>
      </c>
      <c r="D583" s="1">
        <f t="shared" si="125"/>
        <v>6</v>
      </c>
      <c r="E583" s="1">
        <f t="shared" si="125"/>
        <v>12</v>
      </c>
      <c r="F583" s="2">
        <f t="shared" si="123"/>
        <v>10</v>
      </c>
      <c r="H583" s="9" t="s">
        <v>92</v>
      </c>
      <c r="I583" s="9" t="s">
        <v>83</v>
      </c>
      <c r="J583" s="9" t="s">
        <v>33</v>
      </c>
      <c r="K583" s="9">
        <v>28.39</v>
      </c>
      <c r="L583" s="2">
        <v>7</v>
      </c>
      <c r="M583" s="2">
        <v>14</v>
      </c>
      <c r="N583" s="2">
        <v>300.02</v>
      </c>
      <c r="P583" s="4">
        <f t="shared" si="126"/>
        <v>0</v>
      </c>
    </row>
    <row r="584" spans="1:16" x14ac:dyDescent="0.25">
      <c r="A584" s="1" t="str">
        <f t="shared" si="125"/>
        <v>P205</v>
      </c>
      <c r="B584" s="1">
        <f t="shared" si="125"/>
        <v>205</v>
      </c>
      <c r="C584" s="1">
        <f t="shared" si="125"/>
        <v>2100</v>
      </c>
      <c r="D584" s="1">
        <f t="shared" si="125"/>
        <v>6</v>
      </c>
      <c r="E584" s="1">
        <f t="shared" si="125"/>
        <v>12</v>
      </c>
      <c r="F584" s="2">
        <f t="shared" si="123"/>
        <v>10</v>
      </c>
      <c r="H584" s="9" t="s">
        <v>92</v>
      </c>
      <c r="I584" s="9" t="s">
        <v>84</v>
      </c>
      <c r="J584" s="9" t="s">
        <v>33</v>
      </c>
      <c r="K584" s="9">
        <v>27.45</v>
      </c>
      <c r="L584" s="2">
        <v>7</v>
      </c>
      <c r="M584" s="2">
        <v>13</v>
      </c>
      <c r="N584" s="2">
        <v>300.04000000000002</v>
      </c>
      <c r="P584" s="4">
        <f t="shared" si="126"/>
        <v>0</v>
      </c>
    </row>
    <row r="585" spans="1:16" x14ac:dyDescent="0.25">
      <c r="A585" s="1" t="str">
        <f t="shared" si="125"/>
        <v>P205</v>
      </c>
      <c r="B585" s="1">
        <f t="shared" si="125"/>
        <v>205</v>
      </c>
      <c r="C585" s="1">
        <f t="shared" si="125"/>
        <v>2266</v>
      </c>
      <c r="D585" s="1">
        <f t="shared" si="125"/>
        <v>6</v>
      </c>
      <c r="E585" s="1">
        <f t="shared" si="125"/>
        <v>11</v>
      </c>
      <c r="F585" s="2">
        <f t="shared" si="123"/>
        <v>10</v>
      </c>
      <c r="H585" s="9" t="s">
        <v>92</v>
      </c>
      <c r="I585" s="9" t="s">
        <v>85</v>
      </c>
      <c r="J585" s="9" t="s">
        <v>33</v>
      </c>
      <c r="K585" s="9">
        <v>24.33</v>
      </c>
      <c r="L585" s="2">
        <v>6</v>
      </c>
      <c r="M585" s="2">
        <v>12</v>
      </c>
      <c r="N585" s="2">
        <v>300.02999999999997</v>
      </c>
      <c r="P585" s="4">
        <f t="shared" si="126"/>
        <v>0</v>
      </c>
    </row>
    <row r="586" spans="1:16" x14ac:dyDescent="0.25">
      <c r="A586" s="1" t="str">
        <f t="shared" si="125"/>
        <v>P205</v>
      </c>
      <c r="B586" s="1">
        <f t="shared" si="125"/>
        <v>205</v>
      </c>
      <c r="C586" s="1">
        <f t="shared" si="125"/>
        <v>2300</v>
      </c>
      <c r="D586" s="1">
        <f t="shared" si="125"/>
        <v>6</v>
      </c>
      <c r="E586" s="1">
        <f t="shared" si="125"/>
        <v>11</v>
      </c>
      <c r="F586" s="2">
        <f t="shared" si="123"/>
        <v>10</v>
      </c>
      <c r="H586" s="9" t="s">
        <v>92</v>
      </c>
      <c r="I586" s="9" t="s">
        <v>86</v>
      </c>
      <c r="J586" s="9" t="s">
        <v>33</v>
      </c>
      <c r="K586" s="9">
        <v>24.26</v>
      </c>
      <c r="L586" s="2">
        <v>6</v>
      </c>
      <c r="M586" s="2">
        <v>12</v>
      </c>
      <c r="N586" s="2">
        <v>300</v>
      </c>
      <c r="P586" s="4">
        <f t="shared" si="126"/>
        <v>0</v>
      </c>
    </row>
    <row r="587" spans="1:16" x14ac:dyDescent="0.25">
      <c r="A587" s="1" t="str">
        <f t="shared" si="125"/>
        <v>P205</v>
      </c>
      <c r="B587" s="1">
        <f t="shared" si="125"/>
        <v>205</v>
      </c>
      <c r="C587" s="1">
        <f t="shared" si="125"/>
        <v>2454</v>
      </c>
      <c r="D587" s="1">
        <f t="shared" si="125"/>
        <v>5</v>
      </c>
      <c r="E587" s="1">
        <f t="shared" si="125"/>
        <v>10</v>
      </c>
      <c r="F587" s="2">
        <f t="shared" si="123"/>
        <v>10</v>
      </c>
      <c r="H587" s="9" t="s">
        <v>92</v>
      </c>
      <c r="I587" s="9" t="s">
        <v>87</v>
      </c>
      <c r="J587" s="9" t="s">
        <v>33</v>
      </c>
      <c r="K587" s="9">
        <v>24.43</v>
      </c>
      <c r="L587" s="2">
        <v>6</v>
      </c>
      <c r="M587" s="2">
        <v>12</v>
      </c>
      <c r="N587" s="2">
        <v>300.02999999999997</v>
      </c>
      <c r="P587" s="4">
        <f t="shared" si="126"/>
        <v>0</v>
      </c>
    </row>
    <row r="588" spans="1:16" x14ac:dyDescent="0.25">
      <c r="A588" s="1" t="str">
        <f t="shared" si="125"/>
        <v>P205</v>
      </c>
      <c r="B588" s="1">
        <f t="shared" si="125"/>
        <v>205</v>
      </c>
      <c r="C588" s="1">
        <f t="shared" si="125"/>
        <v>2500</v>
      </c>
      <c r="D588" s="1">
        <f t="shared" si="125"/>
        <v>5</v>
      </c>
      <c r="E588" s="1">
        <f t="shared" si="125"/>
        <v>10</v>
      </c>
      <c r="F588" s="2">
        <f t="shared" si="123"/>
        <v>10</v>
      </c>
      <c r="H588" s="9" t="s">
        <v>92</v>
      </c>
      <c r="I588" s="9" t="s">
        <v>88</v>
      </c>
      <c r="J588" s="9" t="s">
        <v>33</v>
      </c>
      <c r="K588" s="9">
        <v>23.79</v>
      </c>
      <c r="L588" s="2">
        <v>6</v>
      </c>
      <c r="M588" s="2">
        <v>11</v>
      </c>
      <c r="N588" s="2">
        <v>300.01</v>
      </c>
      <c r="P588" s="4">
        <f t="shared" si="126"/>
        <v>0</v>
      </c>
    </row>
    <row r="589" spans="1:16" x14ac:dyDescent="0.25">
      <c r="A589" s="1" t="str">
        <f t="shared" ref="A589:E591" si="127">A530</f>
        <v>P205</v>
      </c>
      <c r="B589" s="1">
        <f t="shared" si="127"/>
        <v>205</v>
      </c>
      <c r="C589" s="1">
        <f t="shared" si="127"/>
        <v>2643</v>
      </c>
      <c r="D589" s="1">
        <f t="shared" si="127"/>
        <v>5</v>
      </c>
      <c r="E589" s="1">
        <f t="shared" si="127"/>
        <v>9</v>
      </c>
      <c r="F589" s="2">
        <f t="shared" si="123"/>
        <v>10</v>
      </c>
      <c r="H589" s="9" t="s">
        <v>92</v>
      </c>
      <c r="I589" s="9" t="s">
        <v>89</v>
      </c>
      <c r="J589" s="9" t="s">
        <v>33</v>
      </c>
      <c r="K589" s="9">
        <v>23.52</v>
      </c>
      <c r="L589" s="2">
        <v>6</v>
      </c>
      <c r="M589" s="2">
        <v>11</v>
      </c>
      <c r="N589" s="2">
        <v>300.01</v>
      </c>
      <c r="P589" s="4">
        <f t="shared" si="126"/>
        <v>0</v>
      </c>
    </row>
    <row r="590" spans="1:16" x14ac:dyDescent="0.25">
      <c r="A590" s="1" t="str">
        <f t="shared" si="127"/>
        <v>P205</v>
      </c>
      <c r="B590" s="1">
        <f t="shared" si="127"/>
        <v>205</v>
      </c>
      <c r="C590" s="1">
        <f t="shared" si="127"/>
        <v>2800</v>
      </c>
      <c r="D590" s="1">
        <f t="shared" si="127"/>
        <v>5</v>
      </c>
      <c r="E590" s="1">
        <f t="shared" si="127"/>
        <v>9</v>
      </c>
      <c r="F590" s="2">
        <f t="shared" si="123"/>
        <v>10</v>
      </c>
      <c r="H590" s="9" t="s">
        <v>92</v>
      </c>
      <c r="I590" s="9" t="s">
        <v>90</v>
      </c>
      <c r="J590" s="9" t="s">
        <v>33</v>
      </c>
      <c r="K590" s="9">
        <v>24.67</v>
      </c>
      <c r="L590" s="2">
        <v>6</v>
      </c>
      <c r="M590" s="2">
        <v>12</v>
      </c>
      <c r="N590" s="2">
        <v>300.01</v>
      </c>
      <c r="P590" s="4">
        <f t="shared" si="126"/>
        <v>0</v>
      </c>
    </row>
    <row r="591" spans="1:16" x14ac:dyDescent="0.25">
      <c r="A591" s="1" t="str">
        <f t="shared" si="127"/>
        <v>P205</v>
      </c>
      <c r="B591" s="1">
        <f t="shared" si="127"/>
        <v>205</v>
      </c>
      <c r="C591" s="1">
        <f t="shared" si="127"/>
        <v>2832</v>
      </c>
      <c r="D591" s="1">
        <f t="shared" si="127"/>
        <v>5</v>
      </c>
      <c r="E591" s="1">
        <f t="shared" si="127"/>
        <v>9</v>
      </c>
      <c r="F591" s="2">
        <f t="shared" si="123"/>
        <v>10</v>
      </c>
      <c r="H591" s="9" t="s">
        <v>92</v>
      </c>
      <c r="I591" s="9" t="s">
        <v>91</v>
      </c>
      <c r="J591" s="9" t="s">
        <v>33</v>
      </c>
      <c r="K591" s="9">
        <v>20.36</v>
      </c>
      <c r="L591" s="2">
        <v>5</v>
      </c>
      <c r="M591" s="2">
        <v>10</v>
      </c>
      <c r="N591" s="2">
        <v>300.02</v>
      </c>
      <c r="P591" s="4">
        <f t="shared" si="126"/>
        <v>0</v>
      </c>
    </row>
    <row r="592" spans="1:16" x14ac:dyDescent="0.25">
      <c r="A592" s="1"/>
      <c r="B592" s="1"/>
      <c r="C592" s="1"/>
      <c r="D592" s="1"/>
      <c r="E592" s="1"/>
      <c r="F592" s="2"/>
    </row>
    <row r="593" spans="1:6" x14ac:dyDescent="0.25">
      <c r="A593" s="1"/>
      <c r="B593" s="1"/>
      <c r="C593" s="1"/>
      <c r="D593" s="1"/>
      <c r="E593" s="1"/>
      <c r="F593" s="2"/>
    </row>
    <row r="594" spans="1:6" x14ac:dyDescent="0.25">
      <c r="A594" s="1"/>
      <c r="B594" s="1"/>
      <c r="C594" s="1"/>
      <c r="D594" s="1"/>
      <c r="E594" s="1"/>
      <c r="F594" s="2"/>
    </row>
    <row r="595" spans="1:6" x14ac:dyDescent="0.25">
      <c r="A595" s="1"/>
      <c r="B595" s="1"/>
      <c r="C595" s="1"/>
      <c r="D595" s="1"/>
      <c r="E595" s="1"/>
      <c r="F595" s="2"/>
    </row>
    <row r="596" spans="1:6" x14ac:dyDescent="0.25">
      <c r="A596" s="1"/>
      <c r="B596" s="1"/>
      <c r="C596" s="1"/>
      <c r="D596" s="1"/>
      <c r="E596" s="1"/>
      <c r="F596" s="2"/>
    </row>
    <row r="597" spans="1:6" x14ac:dyDescent="0.25">
      <c r="A597" s="1"/>
      <c r="B597" s="1"/>
      <c r="C597" s="1"/>
      <c r="D597" s="1"/>
      <c r="E597" s="1"/>
      <c r="F597" s="2"/>
    </row>
    <row r="598" spans="1:6" x14ac:dyDescent="0.25">
      <c r="A598" s="1"/>
      <c r="B598" s="1"/>
      <c r="C598" s="1"/>
      <c r="D598" s="1"/>
      <c r="E598" s="1"/>
      <c r="F598" s="2"/>
    </row>
    <row r="599" spans="1:6" x14ac:dyDescent="0.25">
      <c r="A599" s="1"/>
      <c r="B599" s="1"/>
      <c r="C599" s="1"/>
      <c r="D599" s="1"/>
      <c r="E599" s="1"/>
      <c r="F599" s="2"/>
    </row>
    <row r="600" spans="1:6" x14ac:dyDescent="0.25">
      <c r="A600" s="1"/>
      <c r="B600" s="1"/>
      <c r="C600" s="1"/>
      <c r="D600" s="1"/>
      <c r="E600" s="1"/>
      <c r="F600" s="2"/>
    </row>
    <row r="601" spans="1:6" x14ac:dyDescent="0.25">
      <c r="A601" s="1"/>
      <c r="B601" s="1"/>
      <c r="C601" s="1"/>
      <c r="D601" s="1"/>
      <c r="E601" s="1"/>
      <c r="F601" s="2"/>
    </row>
    <row r="602" spans="1:6" x14ac:dyDescent="0.25">
      <c r="A602" s="1"/>
      <c r="B602" s="1"/>
      <c r="C602" s="1"/>
      <c r="D602" s="1"/>
      <c r="E602" s="1"/>
      <c r="F602" s="2"/>
    </row>
    <row r="603" spans="1:6" x14ac:dyDescent="0.25">
      <c r="A603" s="1"/>
      <c r="B603" s="1"/>
      <c r="C603" s="1"/>
      <c r="D603" s="1"/>
      <c r="E603" s="1"/>
      <c r="F603" s="2"/>
    </row>
    <row r="604" spans="1:6" x14ac:dyDescent="0.25">
      <c r="A604" s="1"/>
      <c r="B604" s="1"/>
      <c r="C604" s="1"/>
      <c r="D604" s="1"/>
      <c r="E604" s="1"/>
      <c r="F604" s="2"/>
    </row>
    <row r="605" spans="1:6" x14ac:dyDescent="0.25">
      <c r="A605" s="1"/>
      <c r="B605" s="1"/>
      <c r="C605" s="1"/>
      <c r="D605" s="1"/>
      <c r="E605" s="1"/>
      <c r="F605" s="2"/>
    </row>
    <row r="606" spans="1:6" x14ac:dyDescent="0.25">
      <c r="A606" s="1"/>
      <c r="B606" s="1"/>
      <c r="C606" s="1"/>
      <c r="D606" s="1"/>
      <c r="E606" s="1"/>
      <c r="F606" s="2"/>
    </row>
    <row r="607" spans="1:6" x14ac:dyDescent="0.25">
      <c r="A607" s="1"/>
      <c r="B607" s="1"/>
      <c r="C607" s="1"/>
      <c r="D607" s="1"/>
      <c r="E607" s="1"/>
      <c r="F607" s="2"/>
    </row>
    <row r="608" spans="1:6" x14ac:dyDescent="0.25">
      <c r="A608" s="1"/>
      <c r="B608" s="1"/>
      <c r="C608" s="1"/>
      <c r="D608" s="1"/>
      <c r="E608" s="1"/>
      <c r="F608" s="2"/>
    </row>
    <row r="609" spans="1:6" x14ac:dyDescent="0.25">
      <c r="A609" s="1"/>
      <c r="B609" s="1"/>
      <c r="C609" s="1"/>
      <c r="D609" s="1"/>
      <c r="E609" s="1"/>
      <c r="F609" s="2"/>
    </row>
    <row r="610" spans="1:6" x14ac:dyDescent="0.25">
      <c r="A610" s="1"/>
      <c r="B610" s="1"/>
      <c r="C610" s="1"/>
      <c r="D610" s="1"/>
      <c r="E610" s="1"/>
      <c r="F610" s="2"/>
    </row>
    <row r="611" spans="1:6" x14ac:dyDescent="0.25">
      <c r="A611" s="1"/>
      <c r="B611" s="1"/>
      <c r="C611" s="1"/>
      <c r="D611" s="1"/>
      <c r="E611" s="1"/>
      <c r="F611" s="2"/>
    </row>
    <row r="612" spans="1:6" x14ac:dyDescent="0.25">
      <c r="A612" s="1"/>
      <c r="B612" s="1"/>
      <c r="C612" s="1"/>
      <c r="D612" s="1"/>
      <c r="E612" s="1"/>
      <c r="F612" s="2"/>
    </row>
    <row r="613" spans="1:6" x14ac:dyDescent="0.25">
      <c r="A613" s="1"/>
      <c r="B613" s="1"/>
      <c r="C613" s="1"/>
      <c r="D613" s="1"/>
      <c r="E613" s="1"/>
      <c r="F613" s="2"/>
    </row>
    <row r="614" spans="1:6" x14ac:dyDescent="0.25">
      <c r="A614" s="1"/>
      <c r="B614" s="1"/>
      <c r="C614" s="1"/>
      <c r="D614" s="1"/>
      <c r="E614" s="1"/>
      <c r="F614" s="2"/>
    </row>
    <row r="615" spans="1:6" x14ac:dyDescent="0.25">
      <c r="A615" s="1"/>
      <c r="B615" s="1"/>
      <c r="C615" s="1"/>
      <c r="D615" s="1"/>
      <c r="E615" s="1"/>
      <c r="F615" s="2"/>
    </row>
    <row r="616" spans="1:6" x14ac:dyDescent="0.25">
      <c r="A616" s="1"/>
      <c r="B616" s="1"/>
      <c r="C616" s="1"/>
      <c r="D616" s="1"/>
      <c r="E616" s="1"/>
      <c r="F616" s="2"/>
    </row>
    <row r="617" spans="1:6" x14ac:dyDescent="0.25">
      <c r="A617" s="1"/>
      <c r="B617" s="1"/>
      <c r="C617" s="1"/>
      <c r="D617" s="1"/>
      <c r="E617" s="1"/>
      <c r="F617" s="2"/>
    </row>
    <row r="618" spans="1:6" x14ac:dyDescent="0.25">
      <c r="A618" s="1"/>
      <c r="B618" s="1"/>
      <c r="C618" s="1"/>
      <c r="D618" s="1"/>
      <c r="E618" s="1"/>
      <c r="F618" s="2"/>
    </row>
    <row r="619" spans="1:6" x14ac:dyDescent="0.25">
      <c r="A619" s="1"/>
      <c r="B619" s="1"/>
      <c r="C619" s="1"/>
      <c r="D619" s="1"/>
      <c r="E619" s="1"/>
      <c r="F619" s="2"/>
    </row>
    <row r="620" spans="1:6" x14ac:dyDescent="0.25">
      <c r="A620" s="1"/>
      <c r="B620" s="1"/>
      <c r="C620" s="1"/>
      <c r="D620" s="1"/>
      <c r="E620" s="1"/>
      <c r="F620" s="2"/>
    </row>
    <row r="621" spans="1:6" x14ac:dyDescent="0.25">
      <c r="A621" s="1"/>
      <c r="B621" s="1"/>
      <c r="C621" s="1"/>
      <c r="D621" s="1"/>
      <c r="E621" s="1"/>
      <c r="F621" s="2"/>
    </row>
    <row r="622" spans="1:6" x14ac:dyDescent="0.25">
      <c r="A622" s="1"/>
      <c r="B622" s="1"/>
      <c r="C622" s="1"/>
      <c r="D622" s="1"/>
      <c r="E622" s="1"/>
      <c r="F622" s="2"/>
    </row>
    <row r="623" spans="1:6" x14ac:dyDescent="0.25">
      <c r="A623" s="1"/>
      <c r="B623" s="1"/>
      <c r="C623" s="1"/>
      <c r="D623" s="1"/>
      <c r="E623" s="1"/>
      <c r="F623" s="2"/>
    </row>
    <row r="624" spans="1:6" x14ac:dyDescent="0.25">
      <c r="A624" s="1"/>
      <c r="B624" s="1"/>
      <c r="C624" s="1"/>
      <c r="D624" s="1"/>
      <c r="E624" s="1"/>
      <c r="F624" s="2"/>
    </row>
    <row r="625" spans="1:6" x14ac:dyDescent="0.25">
      <c r="A625" s="1"/>
      <c r="B625" s="1"/>
      <c r="C625" s="1"/>
      <c r="D625" s="1"/>
      <c r="E625" s="1"/>
      <c r="F625" s="2"/>
    </row>
    <row r="626" spans="1:6" x14ac:dyDescent="0.25">
      <c r="A626" s="1"/>
      <c r="B626" s="1"/>
      <c r="C626" s="1"/>
      <c r="D626" s="1"/>
      <c r="E626" s="1"/>
      <c r="F626" s="2"/>
    </row>
    <row r="627" spans="1:6" x14ac:dyDescent="0.25">
      <c r="A627" s="1"/>
      <c r="B627" s="1"/>
      <c r="C627" s="1"/>
      <c r="D627" s="1"/>
      <c r="E627" s="1"/>
      <c r="F627" s="2"/>
    </row>
    <row r="628" spans="1:6" x14ac:dyDescent="0.25">
      <c r="A628" s="1"/>
      <c r="B628" s="1"/>
      <c r="C628" s="1"/>
      <c r="D628" s="1"/>
      <c r="E628" s="1"/>
      <c r="F628" s="2"/>
    </row>
    <row r="629" spans="1:6" x14ac:dyDescent="0.25">
      <c r="A629" s="1"/>
      <c r="B629" s="1"/>
      <c r="C629" s="1"/>
      <c r="D629" s="1"/>
      <c r="E629" s="1"/>
      <c r="F629" s="2"/>
    </row>
    <row r="630" spans="1:6" x14ac:dyDescent="0.25">
      <c r="A630" s="1"/>
      <c r="B630" s="1"/>
      <c r="C630" s="1"/>
      <c r="D630" s="1"/>
      <c r="E630" s="1"/>
      <c r="F630" s="2"/>
    </row>
    <row r="631" spans="1:6" x14ac:dyDescent="0.25">
      <c r="A631" s="1"/>
      <c r="B631" s="1"/>
      <c r="C631" s="1"/>
      <c r="D631" s="1"/>
      <c r="E631" s="1"/>
      <c r="F631" s="2"/>
    </row>
    <row r="632" spans="1:6" x14ac:dyDescent="0.25">
      <c r="A632" s="1"/>
      <c r="B632" s="1"/>
      <c r="C632" s="1"/>
      <c r="D632" s="1"/>
      <c r="E632" s="1"/>
      <c r="F632" s="2"/>
    </row>
    <row r="633" spans="1:6" x14ac:dyDescent="0.25">
      <c r="A633" s="1"/>
      <c r="B633" s="1"/>
      <c r="C633" s="1"/>
      <c r="D633" s="1"/>
      <c r="E633" s="1"/>
      <c r="F633" s="2"/>
    </row>
    <row r="634" spans="1:6" x14ac:dyDescent="0.25">
      <c r="A634" s="1"/>
      <c r="B634" s="1"/>
      <c r="C634" s="1"/>
      <c r="D634" s="1"/>
      <c r="E634" s="1"/>
      <c r="F634" s="2"/>
    </row>
    <row r="635" spans="1:6" x14ac:dyDescent="0.25">
      <c r="A635" s="1"/>
      <c r="B635" s="1"/>
      <c r="C635" s="1"/>
      <c r="D635" s="1"/>
      <c r="E635" s="1"/>
      <c r="F635" s="2"/>
    </row>
    <row r="636" spans="1:6" x14ac:dyDescent="0.25">
      <c r="A636" s="1"/>
      <c r="B636" s="1"/>
      <c r="C636" s="1"/>
      <c r="D636" s="1"/>
      <c r="E636" s="1"/>
      <c r="F636" s="2"/>
    </row>
    <row r="637" spans="1:6" x14ac:dyDescent="0.25">
      <c r="A637" s="1"/>
      <c r="B637" s="1"/>
      <c r="C637" s="1"/>
      <c r="D637" s="1"/>
      <c r="E637" s="1"/>
      <c r="F637" s="2"/>
    </row>
    <row r="638" spans="1:6" x14ac:dyDescent="0.25">
      <c r="A638" s="1"/>
      <c r="B638" s="1"/>
      <c r="C638" s="1"/>
      <c r="D638" s="1"/>
      <c r="E638" s="1"/>
      <c r="F638" s="2"/>
    </row>
    <row r="639" spans="1:6" x14ac:dyDescent="0.25">
      <c r="A639" s="1"/>
      <c r="B639" s="1"/>
      <c r="C639" s="1"/>
      <c r="D639" s="1"/>
      <c r="E639" s="1"/>
      <c r="F639" s="2"/>
    </row>
    <row r="640" spans="1:6" x14ac:dyDescent="0.25">
      <c r="A640" s="1"/>
      <c r="B640" s="1"/>
      <c r="C640" s="1"/>
      <c r="D640" s="1"/>
      <c r="E640" s="1"/>
      <c r="F640" s="2"/>
    </row>
    <row r="641" spans="1:6" x14ac:dyDescent="0.25">
      <c r="A641" s="1"/>
      <c r="B641" s="1"/>
      <c r="C641" s="1"/>
      <c r="D641" s="1"/>
      <c r="E641" s="1"/>
      <c r="F641" s="2"/>
    </row>
    <row r="642" spans="1:6" x14ac:dyDescent="0.25">
      <c r="A642" s="1"/>
      <c r="B642" s="1"/>
      <c r="C642" s="1"/>
      <c r="D642" s="1"/>
      <c r="E642" s="1"/>
      <c r="F642" s="2"/>
    </row>
    <row r="643" spans="1:6" x14ac:dyDescent="0.25">
      <c r="A643" s="1"/>
      <c r="B643" s="1"/>
      <c r="C643" s="1"/>
      <c r="D643" s="1"/>
      <c r="E643" s="1"/>
      <c r="F643" s="2"/>
    </row>
    <row r="644" spans="1:6" x14ac:dyDescent="0.25">
      <c r="A644" s="1"/>
      <c r="B644" s="1"/>
      <c r="C644" s="1"/>
      <c r="D644" s="1"/>
      <c r="E644" s="1"/>
      <c r="F644" s="2"/>
    </row>
    <row r="645" spans="1:6" x14ac:dyDescent="0.25">
      <c r="A645" s="1"/>
      <c r="B645" s="1"/>
      <c r="C645" s="1"/>
      <c r="D645" s="1"/>
      <c r="E645" s="1"/>
      <c r="F645" s="2"/>
    </row>
    <row r="646" spans="1:6" x14ac:dyDescent="0.25">
      <c r="A646" s="1"/>
      <c r="B646" s="1"/>
      <c r="C646" s="1"/>
      <c r="D646" s="1"/>
      <c r="E646" s="1"/>
      <c r="F646" s="2"/>
    </row>
    <row r="647" spans="1:6" x14ac:dyDescent="0.25">
      <c r="A647" s="1"/>
      <c r="B647" s="1"/>
      <c r="C647" s="1"/>
      <c r="D647" s="1"/>
      <c r="E647" s="1"/>
      <c r="F647" s="2"/>
    </row>
    <row r="648" spans="1:6" x14ac:dyDescent="0.25">
      <c r="A648" s="1"/>
      <c r="B648" s="1"/>
      <c r="C648" s="1"/>
      <c r="D648" s="1"/>
      <c r="E648" s="1"/>
      <c r="F648" s="2"/>
    </row>
    <row r="649" spans="1:6" x14ac:dyDescent="0.25">
      <c r="A649" s="1"/>
      <c r="B649" s="1"/>
      <c r="C649" s="1"/>
      <c r="D649" s="1"/>
      <c r="E649" s="1"/>
      <c r="F649" s="2"/>
    </row>
    <row r="650" spans="1:6" x14ac:dyDescent="0.25">
      <c r="A650" s="1"/>
      <c r="B650" s="1"/>
      <c r="C650" s="1"/>
      <c r="D650" s="1"/>
      <c r="E650" s="1"/>
      <c r="F650" s="2"/>
    </row>
    <row r="651" spans="1:6" x14ac:dyDescent="0.25">
      <c r="A651" s="1"/>
      <c r="B651" s="1"/>
      <c r="C651" s="1"/>
      <c r="D651" s="1"/>
      <c r="E651" s="1"/>
      <c r="F651" s="2"/>
    </row>
    <row r="652" spans="1:6" x14ac:dyDescent="0.25">
      <c r="A652" s="1"/>
      <c r="B652" s="1"/>
      <c r="C652" s="1"/>
      <c r="D652" s="1"/>
      <c r="E652" s="1"/>
      <c r="F652" s="2"/>
    </row>
    <row r="653" spans="1:6" x14ac:dyDescent="0.25">
      <c r="A653" s="1"/>
      <c r="B653" s="1"/>
      <c r="C653" s="1"/>
      <c r="D653" s="1"/>
      <c r="E653" s="1"/>
      <c r="F653" s="2"/>
    </row>
    <row r="654" spans="1:6" x14ac:dyDescent="0.25">
      <c r="A654" s="1"/>
      <c r="B654" s="1"/>
      <c r="C654" s="1"/>
      <c r="D654" s="1"/>
      <c r="E654" s="1"/>
      <c r="F654" s="2"/>
    </row>
    <row r="655" spans="1:6" x14ac:dyDescent="0.25">
      <c r="A655" s="1"/>
      <c r="B655" s="1"/>
      <c r="C655" s="1"/>
      <c r="D655" s="1"/>
      <c r="E655" s="1"/>
      <c r="F655" s="2"/>
    </row>
    <row r="656" spans="1:6" x14ac:dyDescent="0.25">
      <c r="A656" s="1"/>
      <c r="B656" s="1"/>
      <c r="C656" s="1"/>
      <c r="D656" s="1"/>
      <c r="E656" s="1"/>
      <c r="F656" s="2"/>
    </row>
    <row r="657" spans="1:6" x14ac:dyDescent="0.25">
      <c r="A657" s="1"/>
      <c r="B657" s="1"/>
      <c r="C657" s="1"/>
      <c r="D657" s="1"/>
      <c r="E657" s="1"/>
      <c r="F657" s="2"/>
    </row>
    <row r="658" spans="1:6" x14ac:dyDescent="0.25">
      <c r="A658" s="1"/>
      <c r="B658" s="1"/>
      <c r="C658" s="1"/>
      <c r="D658" s="1"/>
      <c r="E658" s="1"/>
      <c r="F658" s="2"/>
    </row>
    <row r="659" spans="1:6" x14ac:dyDescent="0.25">
      <c r="A659" s="1"/>
      <c r="B659" s="1"/>
      <c r="C659" s="1"/>
      <c r="D659" s="1"/>
      <c r="E659" s="1"/>
      <c r="F65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proposed methods</vt:lpstr>
      <vt:lpstr>algorithms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李梓响</dc:creator>
  <cp:lastModifiedBy>梓响 李</cp:lastModifiedBy>
  <dcterms:created xsi:type="dcterms:W3CDTF">2015-06-05T18:19:34Z</dcterms:created>
  <dcterms:modified xsi:type="dcterms:W3CDTF">2024-04-10T12:53:03Z</dcterms:modified>
</cp:coreProperties>
</file>